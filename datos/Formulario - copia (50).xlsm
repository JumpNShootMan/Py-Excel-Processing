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28"/>
  <workbookPr codeName="ThisWorkbook"/>
  <mc:AlternateContent xmlns:mc="http://schemas.openxmlformats.org/markup-compatibility/2006">
    <mc:Choice Requires="x15">
      <x15ac:absPath xmlns:x15ac="http://schemas.microsoft.com/office/spreadsheetml/2010/11/ac" url="D:\Daniel Núñez R\Documents\Python\Liquidez\datos\"/>
    </mc:Choice>
  </mc:AlternateContent>
  <xr:revisionPtr revIDLastSave="0" documentId="13_ncr:1_{99B0E47E-FC58-4F58-B7FC-38B4974EB0C8}" xr6:coauthVersionLast="46" xr6:coauthVersionMax="46" xr10:uidLastSave="{00000000-0000-0000-0000-000000000000}"/>
  <bookViews>
    <workbookView xWindow="30765" yWindow="1230" windowWidth="21600" windowHeight="11385" tabRatio="863" xr2:uid="{00000000-000D-0000-FFFF-FFFF00000000}"/>
  </bookViews>
  <sheets>
    <sheet name="Requerimiento" sheetId="17" r:id="rId1"/>
    <sheet name="Filas Global" sheetId="20" r:id="rId2"/>
    <sheet name="Notas" sheetId="19" r:id="rId3"/>
    <sheet name="Hoja2" sheetId="18" state="hidden" r:id="rId4"/>
    <sheet name="ANEXO 15A" sheetId="5" state="hidden" r:id="rId5"/>
    <sheet name="Hoja1" sheetId="15" state="hidden" r:id="rId6"/>
  </sheets>
  <definedNames>
    <definedName name="_xlnm.Print_Area" localSheetId="4">'ANEXO 15A'!$B$4:$D$51</definedName>
    <definedName name="_xlnm.Print_Area" localSheetId="0">Requerimiento!$C$20:$G$115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6" i="20" l="1"/>
  <c r="G6" i="20"/>
  <c r="F6" i="20"/>
  <c r="E6" i="20"/>
  <c r="D6" i="20"/>
  <c r="C6" i="20"/>
  <c r="H81" i="17" l="1"/>
  <c r="H82" i="17"/>
  <c r="H83" i="17"/>
  <c r="H84" i="17"/>
  <c r="H85" i="17"/>
  <c r="H86" i="17"/>
  <c r="H87" i="17"/>
  <c r="H88" i="17"/>
  <c r="H80" i="17"/>
  <c r="G72" i="17" l="1"/>
  <c r="F72" i="17"/>
  <c r="G64" i="17"/>
  <c r="F64" i="17"/>
  <c r="G89" i="17" l="1"/>
  <c r="F89" i="17"/>
  <c r="H89" i="17"/>
  <c r="H76" i="17"/>
  <c r="M6" i="20" s="1"/>
  <c r="H43" i="17" l="1"/>
  <c r="H44" i="17"/>
  <c r="H45" i="17"/>
  <c r="H46" i="17"/>
  <c r="H47" i="17"/>
  <c r="H48" i="17"/>
  <c r="H49" i="17"/>
  <c r="E103" i="17" l="1"/>
  <c r="E114" i="17"/>
  <c r="H70" i="17"/>
  <c r="H69" i="17"/>
  <c r="H68" i="17"/>
  <c r="H61" i="17"/>
  <c r="H54" i="17"/>
  <c r="G50" i="17"/>
  <c r="F50" i="17"/>
  <c r="H42" i="17"/>
  <c r="H39" i="17"/>
  <c r="H38" i="17"/>
  <c r="H33" i="17"/>
  <c r="H32" i="17"/>
  <c r="H31" i="17"/>
  <c r="H36" i="17"/>
  <c r="H35" i="17"/>
  <c r="H34" i="17"/>
  <c r="H41" i="17"/>
  <c r="H40" i="17"/>
  <c r="H37" i="17"/>
  <c r="H30" i="17"/>
  <c r="H25" i="17"/>
  <c r="H24" i="17"/>
  <c r="H23" i="17"/>
  <c r="H22" i="17"/>
  <c r="H72" i="17" l="1"/>
  <c r="H62" i="17"/>
  <c r="H60" i="17"/>
  <c r="H50" i="17"/>
  <c r="H26" i="17"/>
  <c r="I6" i="20" s="1"/>
  <c r="H64" i="17" l="1"/>
  <c r="F107" i="17"/>
  <c r="F94" i="17"/>
  <c r="F95" i="17"/>
  <c r="F96" i="17"/>
  <c r="F97" i="17"/>
  <c r="F98" i="17"/>
  <c r="F108" i="17"/>
  <c r="F99" i="17"/>
  <c r="F109" i="17"/>
  <c r="F100" i="17"/>
  <c r="F110" i="17"/>
  <c r="F101" i="17"/>
  <c r="F111" i="17"/>
  <c r="F102" i="17"/>
  <c r="F112" i="17"/>
  <c r="F93" i="17"/>
  <c r="F113" i="17"/>
  <c r="J6" i="20"/>
  <c r="K6" i="20"/>
  <c r="N6" i="20" s="1"/>
  <c r="F26" i="17"/>
  <c r="L6" i="20" l="1"/>
  <c r="G26" i="17"/>
</calcChain>
</file>

<file path=xl/sharedStrings.xml><?xml version="1.0" encoding="utf-8"?>
<sst xmlns="http://schemas.openxmlformats.org/spreadsheetml/2006/main" count="996" uniqueCount="522">
  <si>
    <t>TOTAL</t>
  </si>
  <si>
    <t>Tipo</t>
  </si>
  <si>
    <t>MN</t>
  </si>
  <si>
    <t>Total</t>
  </si>
  <si>
    <t>N°</t>
  </si>
  <si>
    <t>Caja y bóveda</t>
  </si>
  <si>
    <t>Fila</t>
  </si>
  <si>
    <t>Descripción de Fila</t>
  </si>
  <si>
    <t>I.  RATIO DE LIQUIDEZ EN MONEDA NACIONAL</t>
  </si>
  <si>
    <t xml:space="preserve">     Activos líquidos</t>
  </si>
  <si>
    <t xml:space="preserve">          Caja y fondos fijos</t>
  </si>
  <si>
    <t xml:space="preserve">          Fondos disponibles en Coopac y en empresas del sistema financiero nacional</t>
  </si>
  <si>
    <t xml:space="preserve">          Fondos intercooperativos netos activos</t>
  </si>
  <si>
    <t xml:space="preserve">          Valores representativos de deuda emitidos por el BCRP</t>
  </si>
  <si>
    <t xml:space="preserve">          Valores representativos de deuda emitidos por el Gobierno Central</t>
  </si>
  <si>
    <t xml:space="preserve">          Certificados de depósito negociables y certificados bancarios</t>
  </si>
  <si>
    <t xml:space="preserve">     Total (a)</t>
  </si>
  <si>
    <t xml:space="preserve">     Pasivos de corto plazo</t>
  </si>
  <si>
    <t xml:space="preserve">          Obligaciones a la vista</t>
  </si>
  <si>
    <t xml:space="preserve">          Obligaciones con instituciones recaudadoras de tributos</t>
  </si>
  <si>
    <t xml:space="preserve">          Fondos intercooperativos netos pasivos</t>
  </si>
  <si>
    <t xml:space="preserve">          Obligaciones por cuentas de ahorro</t>
  </si>
  <si>
    <t xml:space="preserve">          Obligaciones por cuentas a plazo</t>
  </si>
  <si>
    <t xml:space="preserve">          Adeudos y obligaciones financieras del país</t>
  </si>
  <si>
    <t xml:space="preserve">          Valores, títulos y obligaciones en circulación</t>
  </si>
  <si>
    <t xml:space="preserve">     Total (b)</t>
  </si>
  <si>
    <t>II.  RATIO DE LIQUIDEZ EN MONEDA EXTRANJERA</t>
  </si>
  <si>
    <t xml:space="preserve">          Fondos disponibles en bancos del exterior de primera categoría</t>
  </si>
  <si>
    <t xml:space="preserve">          Valores representativos de deuda pública países con grado de inversión y de los sistemas financiero</t>
  </si>
  <si>
    <t xml:space="preserve">          Adeudos y obligaciones financieras del exterior</t>
  </si>
  <si>
    <t>Saldos al final del día</t>
  </si>
  <si>
    <t>ME</t>
  </si>
  <si>
    <t>CTS</t>
  </si>
  <si>
    <t>Tipo de cambio contable:</t>
  </si>
  <si>
    <t>(EXPRESADA EN SOLES)</t>
  </si>
  <si>
    <t xml:space="preserve">     RATIO DE LIQUIDEZ [(a)/(b)]x100</t>
  </si>
  <si>
    <t>Depósitos de socios</t>
  </si>
  <si>
    <t>Depósitos de COOPAC</t>
  </si>
  <si>
    <t xml:space="preserve">     Total (c)</t>
  </si>
  <si>
    <t xml:space="preserve">     Total (d)</t>
  </si>
  <si>
    <t xml:space="preserve">     RATIO DE LIQUIDEZ [(c)/(d)]x100</t>
  </si>
  <si>
    <t>NO</t>
  </si>
  <si>
    <t>SI</t>
  </si>
  <si>
    <t>AL 10/02/2021</t>
  </si>
  <si>
    <t>ANEXO 15-A POSICIÓN DIARIA DE LIQUIDEZ NIVEL X</t>
  </si>
  <si>
    <t>NOMBRE DE COOPAC</t>
  </si>
  <si>
    <t>CODIGO SBS</t>
  </si>
  <si>
    <t xml:space="preserve">PERIODO </t>
  </si>
  <si>
    <t>Concepto</t>
  </si>
  <si>
    <t>¿Agencia principal abierta?</t>
  </si>
  <si>
    <t>PARTE I: INFORMACIÓN GENERAL</t>
  </si>
  <si>
    <t>Nro. de socios</t>
  </si>
  <si>
    <t>¿Captan CTS?</t>
  </si>
  <si>
    <t>Cuenta</t>
  </si>
  <si>
    <t>Monto total de los 10 principales depositantes</t>
  </si>
  <si>
    <t>Descripción</t>
  </si>
  <si>
    <t>ANÁLISIS DE LIQUIDEZ  MENSUAL PARA COOPAC - NIVEL 2A</t>
  </si>
  <si>
    <t>#</t>
  </si>
  <si>
    <t>Codigo Entidad</t>
  </si>
  <si>
    <t>RAZON SOCIAL</t>
  </si>
  <si>
    <t>NOMBRE CORTO REGISTRO</t>
  </si>
  <si>
    <t>RUC</t>
  </si>
  <si>
    <t>Departamento</t>
  </si>
  <si>
    <t>Provincia</t>
  </si>
  <si>
    <t>Distrito</t>
  </si>
  <si>
    <t>Analista</t>
  </si>
  <si>
    <t>COOPERATIVA DE AHORRO Y CRÉDITO SEÑOR DE QUINUAPATA</t>
  </si>
  <si>
    <t>COOPAC SEÑOR DE QUINUAPATA</t>
  </si>
  <si>
    <t>AYACUCHO</t>
  </si>
  <si>
    <t>HUAMANGA</t>
  </si>
  <si>
    <t>Gisela Neyra</t>
  </si>
  <si>
    <t>COOPERATIVA DE AHORRO Y CRÉDITO LA PROGRESIVA LTDA.</t>
  </si>
  <si>
    <t>COOPAC LA PROGRESIVA LTDA.</t>
  </si>
  <si>
    <t>SAN MARTIN</t>
  </si>
  <si>
    <t>TARAPOTO</t>
  </si>
  <si>
    <t>Gustavo Enriquez</t>
  </si>
  <si>
    <t>COOPERATIVA DE AHORRO Y CRÉDITO SERFINCO LIMITADA</t>
  </si>
  <si>
    <t>COOPAC SERFINCO LIMITADA</t>
  </si>
  <si>
    <t>LIMA</t>
  </si>
  <si>
    <t>SAN LUIS</t>
  </si>
  <si>
    <t>Liliana Ramírez</t>
  </si>
  <si>
    <t>COOPERATIVA DE AHORRO Y CRÉDITO SAN JUAN BAUTISTA LTDA</t>
  </si>
  <si>
    <t>COOPAC SAN JUAN BAUTISTA</t>
  </si>
  <si>
    <t>ANCASH</t>
  </si>
  <si>
    <t>POMABAMBA</t>
  </si>
  <si>
    <t>Silvia Daza</t>
  </si>
  <si>
    <t>COOPERATIVA DE AHORRO Y CRÉDITO DE LOS TRABAJADORES DE SIDER PERU,ENAPU PERU,ELECTRO PERU Y DE SECT.PROD.Y DE SERV</t>
  </si>
  <si>
    <t>COOPAC TRAB. SIDER PERU</t>
  </si>
  <si>
    <t>SANTA</t>
  </si>
  <si>
    <t>CHIMBOTE</t>
  </si>
  <si>
    <t>Carlos Palacios</t>
  </si>
  <si>
    <t>COOPERATIVA DE AHORRO Y CRÉDITO SAN PIO X LTDA.</t>
  </si>
  <si>
    <t>COOPAC SAN PIO X LTDA.</t>
  </si>
  <si>
    <t>CAJAMARCA</t>
  </si>
  <si>
    <t>COOPERATIVA DE AHORRO Y CRÉDITO EMPHOST LTDA</t>
  </si>
  <si>
    <t>COOPAC EMPHOST  LTDA</t>
  </si>
  <si>
    <t>JESUS MARIA</t>
  </si>
  <si>
    <t>Elizabeth Salvatierra</t>
  </si>
  <si>
    <t>COOPERATIVA DE AHORRO Y CRÉDITO RESPALDA</t>
  </si>
  <si>
    <t>COOPAC RESPALDA</t>
  </si>
  <si>
    <t>AREQUIPA</t>
  </si>
  <si>
    <t>YANAHUARA</t>
  </si>
  <si>
    <t>Jorge Solorzano</t>
  </si>
  <si>
    <t>COOPERATIVA DE AHORRO Y CRÉDITO SEÑOR DE LOS TEMBLORES LTDA</t>
  </si>
  <si>
    <t>COOPAC SR DE LOS TEMBLORES</t>
  </si>
  <si>
    <t>CUSCO</t>
  </si>
  <si>
    <t>WANCHAQ</t>
  </si>
  <si>
    <t>COOPERATIVA DE AHORRO Y CRÉDITO MICROFINANZAS PRISMA</t>
  </si>
  <si>
    <t>COOPAC MICROFINANZAS PRISMA</t>
  </si>
  <si>
    <t>SAN MIGUEL</t>
  </si>
  <si>
    <t>COOPERATIVA DE AHORRO Y CRÉDITO JUAN XXIII</t>
  </si>
  <si>
    <t>COOPAC JUAN XXIII - LIMA</t>
  </si>
  <si>
    <t>Raúl Soto</t>
  </si>
  <si>
    <t>COOPERATIVA DE AHORRO Y CRÉDITO SAN FRANCISCO DE MOCUPE</t>
  </si>
  <si>
    <t>COOPAC SAN FRANC. DE MOCUPE</t>
  </si>
  <si>
    <t>LAMBAYEQUE</t>
  </si>
  <si>
    <t>CHICLAYO</t>
  </si>
  <si>
    <t>LAGUNAS</t>
  </si>
  <si>
    <t>COOPERATIVA DE AHORRO Y CRÉDITO DE LOS VENDEDORES AMBULANTES DE COMAS CREDIVAC</t>
  </si>
  <si>
    <t>COOPAC VENDEDORES AMB COMAS</t>
  </si>
  <si>
    <t>COMAS</t>
  </si>
  <si>
    <t>COOPERATIVA DE AHORRO Y CRÉDITO FLEXICASH</t>
  </si>
  <si>
    <t>COOPAC FLEXICASH</t>
  </si>
  <si>
    <t>COOPERATIVA DE AHORRO Y CRÉDITO AMAZONAS</t>
  </si>
  <si>
    <t>COOPAC AMAZONAS</t>
  </si>
  <si>
    <t>AMAZONAS</t>
  </si>
  <si>
    <t>CHACHAPOYAS</t>
  </si>
  <si>
    <t>COOPERATIVA DE AHORRO Y CRÉDITO FINANCOOP LTDA</t>
  </si>
  <si>
    <t>COOPAC FINANCOOP LTDA</t>
  </si>
  <si>
    <t>SAN ISIDRO</t>
  </si>
  <si>
    <t>COOPERATIVA DE AHORRO Y CRÉDITO INTERFINCO LIMITADA</t>
  </si>
  <si>
    <t>COOPAC INTERFINCO</t>
  </si>
  <si>
    <t>MIRAFLORES</t>
  </si>
  <si>
    <t>COOPERATIVA DE AHORRO Y CRÉDITO APROCREDI</t>
  </si>
  <si>
    <t>COOPAC APROCREDI</t>
  </si>
  <si>
    <t>SAN IGNACIO</t>
  </si>
  <si>
    <t>COOPERATIVA DE AHORRO Y CRÉDITO DE LOS EMPLEADOS DE IBM</t>
  </si>
  <si>
    <t>COOPAC EMPLEADOS DE IBM</t>
  </si>
  <si>
    <t>LA MOLINA</t>
  </si>
  <si>
    <t>COOPERATIVA DE AHORRO Y CRÉDITO CELENDIN LTDA N° 406</t>
  </si>
  <si>
    <t>COOPAC CELENDIN LTDA N° 406</t>
  </si>
  <si>
    <t>CELENDIN</t>
  </si>
  <si>
    <t>Fiorella Avila</t>
  </si>
  <si>
    <t>COOPERATIVA DE AHORRO Y CRÉDITO SANTA ISABEL PERUNORTE</t>
  </si>
  <si>
    <t>COOPAC STA ISABEL PERUNORTE</t>
  </si>
  <si>
    <t>PIURA</t>
  </si>
  <si>
    <t>COOPERATIVA DE AHORRO Y CRÉDITO INMACULADA CONCEPCION DE CANTA LTDA.</t>
  </si>
  <si>
    <t>COOPAC INMAC CONC DE CANTA</t>
  </si>
  <si>
    <t>CANTA</t>
  </si>
  <si>
    <t>COOPERATIVA DE AHORRO Y CRÉDITO SAN COSME LTDA</t>
  </si>
  <si>
    <t>COOPAC SAN COSME LTDA</t>
  </si>
  <si>
    <t>LA VICTORIA</t>
  </si>
  <si>
    <t>COOPERATIVA DE AHORRO Y CRÉDITO DEL ORIENTE LTDA.</t>
  </si>
  <si>
    <t>COOPAC ORIENTE LTDA</t>
  </si>
  <si>
    <t>COOPERATIVA DE AHORRO Y CRÉDITO HOSNI LIMITADA N:518</t>
  </si>
  <si>
    <t>COOPAC HOSNI LIMITADA</t>
  </si>
  <si>
    <t>COOPERATIVA DE AHORRO Y CRÉDITO SO 3RA JOSE DEL CARMEN HUAMAN MUÑOZ</t>
  </si>
  <si>
    <t>COOPAC JOSE C. HUAMAN MUÑOZ</t>
  </si>
  <si>
    <t>COOPERATIVA DE AHORRO Y CRÉDITO DE TRABAJADORES DE LA SUNAT - COOSUNAT</t>
  </si>
  <si>
    <t>COOPAC COOSUNAT</t>
  </si>
  <si>
    <t>CERRO COLORADO</t>
  </si>
  <si>
    <t>COOPERATIVA DE AHORRO Y CRÉDITO SONDOR PACUCHA</t>
  </si>
  <si>
    <t>COOPAC SONDOR PACUCHA</t>
  </si>
  <si>
    <t>APURIMAC</t>
  </si>
  <si>
    <t>ANDAHUAYLAS</t>
  </si>
  <si>
    <t>PACUCHA</t>
  </si>
  <si>
    <t>COOPERATIVA DE AHORRO Y CRÉDITO AOPCOOP</t>
  </si>
  <si>
    <t>COOPAC AOPCOOP</t>
  </si>
  <si>
    <t>COOPERATIVA DE AHORRO Y CRÉDITO DE TRABAJADORES DEL BANCO CENTRAL DE RESERVA DEL PERU LTDA</t>
  </si>
  <si>
    <t>COOPAC TRAB. DEL BCR</t>
  </si>
  <si>
    <t>COOPERATIVA DE AHORRO Y CRÉDITO 29 DE AGOSTO DE LA PNP LTDA.</t>
  </si>
  <si>
    <t>COOPAC 29 DE AGOSTO PNP</t>
  </si>
  <si>
    <t>COOPERATIVA DE AHORRO Y CRÉDITO CECOMSAP LIMITADA</t>
  </si>
  <si>
    <t>COOPAC CECOMSAP LIMITADA</t>
  </si>
  <si>
    <t>PUNO</t>
  </si>
  <si>
    <t>SAN ROMAN</t>
  </si>
  <si>
    <t>JULIACA</t>
  </si>
  <si>
    <t>COOPERATIVA DE AHORRO Y CRÉDITO SAYARI</t>
  </si>
  <si>
    <t>COOPAC SAYARI</t>
  </si>
  <si>
    <t>COOPERATIVA DE AHORRO Y CRÉDITO HUANCAVELICA LIMITADA 582</t>
  </si>
  <si>
    <t>COOPAC HUANCAVELICA LTDA</t>
  </si>
  <si>
    <t>HUANCAVELICA</t>
  </si>
  <si>
    <t>COOPERATIVA DE AHORRO Y CRÉDITO PONDEROSA LTDA</t>
  </si>
  <si>
    <t>COOPAC PONDEROSA LTDA</t>
  </si>
  <si>
    <t>COOPERATIVA DE AHORRO Y CRÉDITO CENTRAL SINDICAL LIMA LTDA</t>
  </si>
  <si>
    <t>COOPAC CENTRAL SINDICAL</t>
  </si>
  <si>
    <t>COOPERATIVA DE AHORRO Y CRÉDITO MICREDISOL</t>
  </si>
  <si>
    <t>COOPAC MICREDISOL</t>
  </si>
  <si>
    <t>COOPERATIVA DE AHORRO Y CRÉDITO SEPACOSE LTDA.</t>
  </si>
  <si>
    <t>COOPAC SEPACOSE LTDA.</t>
  </si>
  <si>
    <t>COOPERATIVA DE AHORRO Y CRÉDITO LA PORTUARIA</t>
  </si>
  <si>
    <t>COOPAC LA PORTUARIA</t>
  </si>
  <si>
    <t>CALLAO</t>
  </si>
  <si>
    <t>PROV. CONST. DEL CALLAO</t>
  </si>
  <si>
    <t>COOPERATIVA DE AHORRO Y CRÉDITO CRISTO REY LTDA</t>
  </si>
  <si>
    <t>COOPAC CRISTO REY LTDA</t>
  </si>
  <si>
    <t>TALARA</t>
  </si>
  <si>
    <t>LA BREA</t>
  </si>
  <si>
    <t>COOPERATIVA DE AHORRO Y CRÉDITO EL DORADO LTDA.</t>
  </si>
  <si>
    <t>COOPAC EL DORADO</t>
  </si>
  <si>
    <t>COOPERATIVA DE AHORRO Y CRÉDITO DE LOS TRABAJADORES DEL BANCO DE CRÉDITO DEL PERU LTDA.</t>
  </si>
  <si>
    <t>COOPAC TRABAJADORES DEL BCP</t>
  </si>
  <si>
    <t>COOPERATIVA DE AHORRO Y CRÉDITO LA FLORIDA-CREDIFLORIDA</t>
  </si>
  <si>
    <t>COOPAC CREDIFLORIDA</t>
  </si>
  <si>
    <t>JUNIN</t>
  </si>
  <si>
    <t>CHANCHAMAYO</t>
  </si>
  <si>
    <t>COOPERATIVA DE AHORRO Y CRÉDITO "SAN MARTIN DE PORRES" MERCADO DE MAGDALENA DE MAR LTDA</t>
  </si>
  <si>
    <t>COOPAC MARTIN DE PORRES MDO</t>
  </si>
  <si>
    <t>MAGDALENA DEL MAR</t>
  </si>
  <si>
    <t>COOPERATIVA DE AHORRO Y CRÉDITO CHIQUINQUIRA LTDA. N°471</t>
  </si>
  <si>
    <t>COOPAC CHIQUINQUIRA</t>
  </si>
  <si>
    <t>HUAYLAS</t>
  </si>
  <si>
    <t>CARAZ</t>
  </si>
  <si>
    <t>COOPERATIVA DE AHORRO Y CRÉDITO FINANCIAMIENTO POPULAR - FINANPOP</t>
  </si>
  <si>
    <t>COOPAC FINANPOP</t>
  </si>
  <si>
    <t>COOPERATIVA DE AHORRO Y CRÉDITO VALLE LA LECHE LTDA.</t>
  </si>
  <si>
    <t>COOPAC VALLE LA LECHE LTDA.</t>
  </si>
  <si>
    <t>FERREÑAFE</t>
  </si>
  <si>
    <t>COOPERATIVA DE AHORRO Y CRÉDITO EL AMAUTA LTDA</t>
  </si>
  <si>
    <t>COOPAC EL AMAUTA LTDA</t>
  </si>
  <si>
    <t>LA CONVENCION</t>
  </si>
  <si>
    <t>SANTA ANA</t>
  </si>
  <si>
    <t>COOPERATIVA DE AHORRO Y CRÉDITO DE INTELECTUALES, LIDERES Y EMPRESARIOS - D.I.L.E.</t>
  </si>
  <si>
    <t>COOPAC D.I.L.E.</t>
  </si>
  <si>
    <t>COOPERATIVA DE AHORRO Y CRÉDITO PEDRO RUIZ GALLO</t>
  </si>
  <si>
    <t>COOPAC PEDRO RUIZ GALLO</t>
  </si>
  <si>
    <t>BONGARA</t>
  </si>
  <si>
    <t>JAZÁN</t>
  </si>
  <si>
    <t>COOPERATIVA DE AHORRO Y CRÉDITO EXITO - CREDIEXITO</t>
  </si>
  <si>
    <t>COOPAC CREDIEXITO</t>
  </si>
  <si>
    <t>COOPERATIVA DE AHORRO Y CRÉDITO TOCACHE LTDA 35</t>
  </si>
  <si>
    <t>COOPAC TOCACHE LTDA 35</t>
  </si>
  <si>
    <t>TOCACHE</t>
  </si>
  <si>
    <t>COOPERATIVA DE AHORRO Y CRÉDITO JUAN XXIII LTDA</t>
  </si>
  <si>
    <t>COOPAC JUAN XXIII - CUSCO</t>
  </si>
  <si>
    <t>SANTIAGO</t>
  </si>
  <si>
    <t>COOPERATIVA DE AHORRO Y CRÉDITO TODOS LOS SANTOS DE CHOTA LTDA 560</t>
  </si>
  <si>
    <t>COOPAC LOS SANTOS DE CHOTA</t>
  </si>
  <si>
    <t>CHOTA</t>
  </si>
  <si>
    <t>COOPERATIVA DE AHORRO Y CRÉDITO VIRGEN DE LA CANDELARIA</t>
  </si>
  <si>
    <t>COOPAC VIRGEN DE CANDELARIA</t>
  </si>
  <si>
    <t>SAN ANTONIO DE PUTINA</t>
  </si>
  <si>
    <t>PUTINA</t>
  </si>
  <si>
    <t>COOPERATIVA DE AHORRO Y CRÉDITO KURIA LTDA</t>
  </si>
  <si>
    <t>COOPAC KURIA LTDA</t>
  </si>
  <si>
    <t>COOPERATIVA DE AHORRO Y CRÉDITO SERVICOOP-BN LTDA</t>
  </si>
  <si>
    <t>COOPAC SERVICOOP-BN</t>
  </si>
  <si>
    <t>ATE</t>
  </si>
  <si>
    <t>COOPERATIVA DE AHORRO Y CRÉDITO DE LOS TRABAJADORES DEL SECTOR SALUD LTDA.</t>
  </si>
  <si>
    <t>COOPAC TRAB SECTOR SALUD</t>
  </si>
  <si>
    <t>COOPERATIVA DE AHORRO Y CRÉDITO EMPRENDER - APURIMAC</t>
  </si>
  <si>
    <t>COOPAC EMPRENDER - APURIMAC</t>
  </si>
  <si>
    <t>ABANCAY</t>
  </si>
  <si>
    <t>COOPERATIVA DE AHORRO Y CRÉDITO DE LOS TRABAJADORES DE EMPRESAS DE LUZ Y FUERZA ELECTRICA Y AFINES LTDA. - CREDICOOP LUZ Y FUERZA</t>
  </si>
  <si>
    <t>COOPAC LUZ Y FUERZA</t>
  </si>
  <si>
    <t>LINCE</t>
  </si>
  <si>
    <t>COOPERATIVA DE AHORRO Y CRÉDITO LIBERTAD</t>
  </si>
  <si>
    <t>COOPAC LIBERTAD</t>
  </si>
  <si>
    <t>COOPERATIVA DE AHORRO Y CRÉDITO CAPITAL</t>
  </si>
  <si>
    <t>COOPAC CAPITAL</t>
  </si>
  <si>
    <t>COOPERATIVA DE AHORRO Y CRÉDITO ALTO SELVA ALEGRE LTDA</t>
  </si>
  <si>
    <t>COOPAC SELVA ALEGRE LTDA</t>
  </si>
  <si>
    <t>COOPERATIVA DE AHORRO Y CRÉDITO N°077 HIJOS DE ANCASH- COOPEANCASH</t>
  </si>
  <si>
    <t>COOPAC COOPEANCASH</t>
  </si>
  <si>
    <t>SAN MARTIN DE PORRES</t>
  </si>
  <si>
    <t>COOPERATIVA DE AHORRO Y CRÉDITO DEL SECTOR INDUSTRIAS</t>
  </si>
  <si>
    <t>COOPAC SECTOR INDUSTRIAS</t>
  </si>
  <si>
    <t>COOPERATIVA DE AHORRO Y CRÉDITO SANTA VERONICA</t>
  </si>
  <si>
    <t>COOPAC SANTA VERONICA LTDA</t>
  </si>
  <si>
    <t>COOPERATIVA DE AHORRO Y CRÉDITO SAN JOSE LTDA 178</t>
  </si>
  <si>
    <t>COOPAC SAN JOSE LTDA 178</t>
  </si>
  <si>
    <t>LORETO</t>
  </si>
  <si>
    <t>MAYNAS</t>
  </si>
  <si>
    <t>IQUITOS</t>
  </si>
  <si>
    <t>COOPERATIVA DE AHORRO Y CRÉDITO SAN SALVADOR DE MILPO LTDA 305</t>
  </si>
  <si>
    <t>COOPAC SALVADOR DE MILPO</t>
  </si>
  <si>
    <t>PASCO</t>
  </si>
  <si>
    <t>YANACANCHA</t>
  </si>
  <si>
    <t>COOPERATIVA DE AHORRO Y CRÉDITO MUNICIPAL DE AREQUIPA</t>
  </si>
  <si>
    <t>COOPAC MUNICIPAL AREQUIPA</t>
  </si>
  <si>
    <t>COOPERATIVA DE AHORRO Y CRÉDITO 15 DE SETIEMBRE LTDA</t>
  </si>
  <si>
    <t>COOPAC 15 DE SETIEMBRE LTDA</t>
  </si>
  <si>
    <t>COOPERATIVA DE AHORRO Y CRÉDITO DEL SECTOR SALUD DE AYACUCHO</t>
  </si>
  <si>
    <t>COOPAC SEC. SALUD AYACUCHO</t>
  </si>
  <si>
    <t>COOPERATIVA DE AHORRO Y CRÉDITO CONTINENTAL LTDA.</t>
  </si>
  <si>
    <t>COOPAC CONTINENTAL LTDA</t>
  </si>
  <si>
    <t>COOPERATIVA DE AHORRO Y CRÉDITO URB. TAHUANTINSUYO LTDA.</t>
  </si>
  <si>
    <t>COOPAC URB. TAHUANTINSUYO</t>
  </si>
  <si>
    <t>INDEPENDENCIA</t>
  </si>
  <si>
    <t>COOPERATIVA DE AHORRO Y CRÉDITO CORPORACION COOPERATIVA ETICA LIMITADA</t>
  </si>
  <si>
    <t>COOPAC CORP COOP ETICA</t>
  </si>
  <si>
    <t>HUANCAYO</t>
  </si>
  <si>
    <t>EL TAMBO</t>
  </si>
  <si>
    <t>COOPERATIVA DE AHORRO Y CRÉDITO DE CESANTES, JUBILADOS Y ACTIVOS DEL SECTOR SALUD LIMITADA LA LIBERTAD</t>
  </si>
  <si>
    <t>COOPAC CESANTES SEC SALUD</t>
  </si>
  <si>
    <t>LA LIBERTAD</t>
  </si>
  <si>
    <t>TRUJILLO</t>
  </si>
  <si>
    <t>COOPERATIVA DE AHORRO Y CRÉDITO LATINO PERU LIMITADA</t>
  </si>
  <si>
    <t>COOPAC LATINO PERU LTDA</t>
  </si>
  <si>
    <t>COOPERATIVA DE AHORRO Y CRÉDITO SAGRADO CORAZON DE JESUS DEL MERCADO LOBATON</t>
  </si>
  <si>
    <t>COOPAC CORAZON JESUS MRCDO</t>
  </si>
  <si>
    <t>COOPERATIVA DE AHORRO Y CRÉDITO CREDICOOP CUSCO</t>
  </si>
  <si>
    <t>COOPAC CREDICOOP CUSCO</t>
  </si>
  <si>
    <t>COOPERATIVA DE AHORRO Y CRÉDITO PANGOA - CREDIPANGOA</t>
  </si>
  <si>
    <t>COOPAC CREDIPANGOA</t>
  </si>
  <si>
    <t>SATIPO</t>
  </si>
  <si>
    <t>PANGOA</t>
  </si>
  <si>
    <t>COOPERATIVA DE AHORRO Y CRÉDITO REQUE LTDA</t>
  </si>
  <si>
    <t>COOPAC REQUE LTDA</t>
  </si>
  <si>
    <t>REQUE</t>
  </si>
  <si>
    <t>COOPERATIVA DE AHORRO Y CRÉDITO PROMOCION TAHUANTINSUYO 1946</t>
  </si>
  <si>
    <t>COOPAC PROMOC TAHUANTINSUYO</t>
  </si>
  <si>
    <t>COOPERATIVA DE AHORRO Y CRÉDITO CENTENARIO LTDA</t>
  </si>
  <si>
    <t>COOPAC CENTENARIO</t>
  </si>
  <si>
    <t>BREÑA</t>
  </si>
  <si>
    <t>COOPERATIVA DE AHORRO Y CRÉDITO CABANILLAS - MAÑAZO LTDA</t>
  </si>
  <si>
    <t>COOPAC CABANILLAS - MAÑAZO</t>
  </si>
  <si>
    <t>CABANILLAS</t>
  </si>
  <si>
    <t>COOPERATIVA DE AHORRO Y CRÉDITO WIÑAY MACUSANI LTDA</t>
  </si>
  <si>
    <t>COOPAC WIÑAY MACUSANI LTDA</t>
  </si>
  <si>
    <t>CARABAYA</t>
  </si>
  <si>
    <t>MACUSANI</t>
  </si>
  <si>
    <t>COOPERATIVA DE AHORRO Y CRÉDITO RODRIGUEZ DE MENDOZA</t>
  </si>
  <si>
    <t>COOPAC RODRIGUEZ DE MENDOZA</t>
  </si>
  <si>
    <t>RODRIGUEZ DE MENDOZA</t>
  </si>
  <si>
    <t>SAN NICOLAS</t>
  </si>
  <si>
    <t>COOPERATIVA DE AHORRO Y CRÉDITO GRUPO INVERSIÓN SUDAMERICANO</t>
  </si>
  <si>
    <t>COOPAC GRUPO INVERSIÓN SUD</t>
  </si>
  <si>
    <t>COOPERATIVA DE AHORRO Y CRÉDITO FINANZAS SOLIDARIAS MONS. MARCOS LIBARDONI LTDA.</t>
  </si>
  <si>
    <t>COOPAC FIN SOL MONS MARCOS</t>
  </si>
  <si>
    <t>HUARI</t>
  </si>
  <si>
    <t>COOPERATIVA DE AHORRO Y CRÉDITO LOS SANTOS</t>
  </si>
  <si>
    <t>COOPAC LOS SANTOS</t>
  </si>
  <si>
    <t>COOPERATIVA DE AHORRO Y CRÉDITO SAN FRANCISCO JAVIER LTDA.</t>
  </si>
  <si>
    <t>COOPAC SAN FRANCISCO JAVIER</t>
  </si>
  <si>
    <t>RIMAC</t>
  </si>
  <si>
    <t>COOPERATIVA DE AHORRO Y CRÉDITO CRÉDITOS SOLIDARIOS DEL PERU</t>
  </si>
  <si>
    <t>COOPAC CREDITOS SOLIDARIOS</t>
  </si>
  <si>
    <t>COOPERATIVA DE AHORRO Y CRÉDITO SANTA ROSA DEL SECTOR SALUD DE HUANCAVELICA LIMITADA.</t>
  </si>
  <si>
    <t>COOPAC STA ROSA SEC SALUD</t>
  </si>
  <si>
    <t>COOPERATIVA DE AHORRO Y CRÉDITO PATRON SANTIAGO LUNAHUANA LIMITADA</t>
  </si>
  <si>
    <t>COOPAC SANTIAGO LUNAHUANA</t>
  </si>
  <si>
    <t>CAÑETE</t>
  </si>
  <si>
    <t>LUNAHUANA</t>
  </si>
  <si>
    <t>COOPERATIVA DE AHORRO Y CRÉDITO QORILAZO</t>
  </si>
  <si>
    <t>COOPAC QORILAZO</t>
  </si>
  <si>
    <t>CHUMBIVILCAS</t>
  </si>
  <si>
    <t>SANTO TOMAS</t>
  </si>
  <si>
    <t>COOPERATIVA DE AHORRO Y CRÉDITO TRES CRUCES</t>
  </si>
  <si>
    <t>COOPAC TRES CRUCES</t>
  </si>
  <si>
    <t>ISLAY</t>
  </si>
  <si>
    <t>MOLLENDO</t>
  </si>
  <si>
    <t>COOPERATIVA DE AHORRO Y CRÉDITO REFINERIA DE PLATA Y RESIDUOS ANODICOS LTDA.</t>
  </si>
  <si>
    <t>COOPAC REFINERIA DE PLATA</t>
  </si>
  <si>
    <t>YAULI</t>
  </si>
  <si>
    <t>LA OROYA</t>
  </si>
  <si>
    <t>COOPERATIVA DE AHORRO Y CRÉDITO CHICLAYO LTDA</t>
  </si>
  <si>
    <t>COOPAC CHICLAYO LTDA</t>
  </si>
  <si>
    <t>COOPERATIVA DE AHORRO Y CRÉDITO NUEVO MILENIO LIMITADA</t>
  </si>
  <si>
    <t>COOPAC NUEVO MILENIO LTDA</t>
  </si>
  <si>
    <t>SAN JUAN DE LURIGANCHO</t>
  </si>
  <si>
    <t>COOPERATIVA DE AHORRO Y CRÉDITO SAN JOSE CARTAVIO</t>
  </si>
  <si>
    <t>COOPAC SAN JOSE CARTAVIO</t>
  </si>
  <si>
    <t>ASCOPE</t>
  </si>
  <si>
    <t>SANTIAGO DE CAO</t>
  </si>
  <si>
    <t>COOPERATIVA DE AHORRO Y CRÉDITO SERVICREDIT</t>
  </si>
  <si>
    <t>COOPAC SERVICREDIT</t>
  </si>
  <si>
    <t>SANTIAGO DE SURCO</t>
  </si>
  <si>
    <t>COOPERATIVA DE AHORRO Y CRÉDITO VALE UN PERU</t>
  </si>
  <si>
    <t>COOPAC VALE UN PERU</t>
  </si>
  <si>
    <t>COOPERATIVA DE AHORRO Y CRÉDITO ELECTROCOOP LTDA.</t>
  </si>
  <si>
    <t>COOPAC ELECTROCOOP LTDA.</t>
  </si>
  <si>
    <t>COOPERATIVA DE AHORRO Y CRÉDITO SEÑOR DE SOCCLLACCASA - ABANCAY</t>
  </si>
  <si>
    <t>COOPAC SEÑOR SOCCLLACCASA</t>
  </si>
  <si>
    <t>COOPERATIVA DE AHORRO Y CRÉDITO RONDAS Y DESARROLLO - RONDESA</t>
  </si>
  <si>
    <t>COOPAC RONDESA</t>
  </si>
  <si>
    <t>COOPERATIVA DE AHORRO Y CRÉDITO TRABAJADORES ALICORP LTDA.</t>
  </si>
  <si>
    <t>COOPAC TRABAJADORES ALICORP</t>
  </si>
  <si>
    <t>COOPERATIVA DE AHORRO Y CRÉDITO PRESTAMOS Y CRÉDITOS DEL SUR</t>
  </si>
  <si>
    <t>COOPAC PRESTAMOS Y CREDITOS</t>
  </si>
  <si>
    <t>COOPERATIVA DE AHORRO Y CRÉDITO LAS FAMILIAS UNIDAS - COOPACFU</t>
  </si>
  <si>
    <t>COOPAC FAMILIAS UNIDAS</t>
  </si>
  <si>
    <t>SAN JUAN DE MIRAFLORES</t>
  </si>
  <si>
    <t>COOPERATIVA DE AHORRO Y CRÉDITO SEÑOR DE QOYLLURIT´I</t>
  </si>
  <si>
    <t>COOPAC SEÑOR DE QOYLLURIT´I</t>
  </si>
  <si>
    <t>ESPINAR</t>
  </si>
  <si>
    <t>COOPERATIVA DE AHORRO Y CRÉDITO GLOBALCOOP LTDA</t>
  </si>
  <si>
    <t>COOPAC GLOBALCOOP</t>
  </si>
  <si>
    <t>COOPERATIVA DE AHORRO Y CRÉDITO FORTALECER</t>
  </si>
  <si>
    <t>COOPAC FORTALECER</t>
  </si>
  <si>
    <t>COOPERATIVA DE AHORRO Y CRÉDITO DEL CENTRO - CENTROCOOP</t>
  </si>
  <si>
    <t>COOPAC CENTROCOOP</t>
  </si>
  <si>
    <t>COOPERATIVA DE AHORRO Y CRÉDITO CREDIPERUBANK LTDA.</t>
  </si>
  <si>
    <t>COOPAC CREDIPERUBANK LTDA</t>
  </si>
  <si>
    <t>SAN JERONIMO</t>
  </si>
  <si>
    <t>COOPERATIVA DE AHORRO Y CRÉDITO SANTIAGO APOSTOL DE TALAVERA LTDA</t>
  </si>
  <si>
    <t>COOPAC SGO APOSTOL TALAVERA</t>
  </si>
  <si>
    <t>TALAVERA</t>
  </si>
  <si>
    <t>COOPERATIVA DE AHORRO Y CRÉDITO SERVICIO ADUANERO DEL PERU LTDA.</t>
  </si>
  <si>
    <t>COOPAC SERV. ADUANERO</t>
  </si>
  <si>
    <t>COOPERATIVA DE AHORRO Y CRÉDITO LOS TRABAJADORES DE VOLCAN COMPAÑIA MINERA LIMITADA N° 392 - CERRO DE PASCO</t>
  </si>
  <si>
    <t>COOPAC TRAB. VOLCAN LTDA</t>
  </si>
  <si>
    <t>COOPERATIVA DE AHORRO Y CRÉDITO SEÑOR DE ANIMAS DE CANCHUILLCA, CHALHUANCA-AYMARAES</t>
  </si>
  <si>
    <t>COOPAC SEÑOR DE ANIMAS</t>
  </si>
  <si>
    <t>AYMARAES</t>
  </si>
  <si>
    <t>CHALHUANCA</t>
  </si>
  <si>
    <t>COOPERATIVA DE AHORRO Y CRÉDITO SAN HILARION DOS MIL LTDA</t>
  </si>
  <si>
    <t>COOPAC SAN HILARION DOS MIL</t>
  </si>
  <si>
    <t>COOPERATIVA DE AHORRO Y CRÉDITO JESUS OBRERO COMAS N° 092</t>
  </si>
  <si>
    <t>COOPAC JESUS OBRERO COMAS</t>
  </si>
  <si>
    <t>COOPERATIVA DE AHORRO Y CRÉDITO CREDICUSCO LTDA</t>
  </si>
  <si>
    <t>COOPAC CREDICUSCO</t>
  </si>
  <si>
    <t>COOPERATIVA DE AHORRO Y CRÉDITO DIOS PROVEEDOR</t>
  </si>
  <si>
    <t>COOPAC DIOS PROVEEDOR</t>
  </si>
  <si>
    <t>COOPERATIVA DE AHORRO Y CRÉDITO CREDIRAPIDOPERU</t>
  </si>
  <si>
    <t>COOPAC CREDIRAPIDOPERU</t>
  </si>
  <si>
    <t>COOPERATIVA DE AHORRO Y CRÉDITO INKACOOP LTDA</t>
  </si>
  <si>
    <t>COOPAC INKACOOP LTDA</t>
  </si>
  <si>
    <t>COOPERATIVA DE AHORRO Y CRÉDITO INVERCOOP</t>
  </si>
  <si>
    <t>COOPAC INVERCOOP</t>
  </si>
  <si>
    <t>COOPERATIVA DE AHORRO Y CRÉDITO DE LOS EMPLEADOS DE NEXTEL DEL PERU S.A. LTDA</t>
  </si>
  <si>
    <t>COOPAC EMP. DE NEXTEL</t>
  </si>
  <si>
    <t>SAN BORJA</t>
  </si>
  <si>
    <t>COOPERATIVA DE AHORRO Y CRÉDITO NIÑO REY HUAMANGA-AYACUCHO</t>
  </si>
  <si>
    <t>COOPAC NIÑO REY HUAMANGA</t>
  </si>
  <si>
    <t>COOPERATIVA DE AHORRO Y CRÉDITO SAN PEDRO LIMITADA N° 254</t>
  </si>
  <si>
    <t>COOPAC SAN PEDRO LIMITADA</t>
  </si>
  <si>
    <t>HUANCABAMBA</t>
  </si>
  <si>
    <t>COOPERATIVA DE AHORRO Y CRÉDITO ARCANGEL</t>
  </si>
  <si>
    <t>COOPAC ARCANGEL</t>
  </si>
  <si>
    <t>COOPERATIVA DE AHORRO Y CRÉDITO FINANZAS SOLIDARIAS PARA LA EXPORTACION SANTA ASUNCION LTDA.</t>
  </si>
  <si>
    <t>COOPAC FINAN SANTA ASUNCIÓN</t>
  </si>
  <si>
    <t>COOPERATIVA DE AHORRO Y CRÉDITO T´IKARIY LTDA.</t>
  </si>
  <si>
    <t>COOPAC T´IKARIY LTDA.</t>
  </si>
  <si>
    <t>MELGAR</t>
  </si>
  <si>
    <t>AYAVIRI</t>
  </si>
  <si>
    <t>COOPERATIVA DE AHORRO Y CRÉDITO FORTALEZA DE AYACUCHO</t>
  </si>
  <si>
    <t>COOPAC FORTALEZA DE AYACUCH</t>
  </si>
  <si>
    <t>COOPERATIVA DE AHORRO Y CRÉDITO PARROQUIA SANTA ROSA DE LIMA</t>
  </si>
  <si>
    <t>COOPAC PARROQUIA SANTA ROSA</t>
  </si>
  <si>
    <t>COOPERATIVA DE AHORRO Y CRÉDITO SEÑOR DE MAYNAY - COSEMA</t>
  </si>
  <si>
    <t>COOPAC SEÑOR DE MAYNAY</t>
  </si>
  <si>
    <t>HUANTA</t>
  </si>
  <si>
    <t>Información</t>
  </si>
  <si>
    <t>N° de agencias</t>
  </si>
  <si>
    <t>N° de agencias cerradas</t>
  </si>
  <si>
    <t>Disponible Restringido</t>
  </si>
  <si>
    <t>Adeudos y Obligaciones Financieras</t>
  </si>
  <si>
    <t>Bancos</t>
  </si>
  <si>
    <t>COOPAC</t>
  </si>
  <si>
    <t>Otros</t>
  </si>
  <si>
    <t>Saldo de Depósitos</t>
  </si>
  <si>
    <t>Vence 15 d.</t>
  </si>
  <si>
    <t>Vence 30 d.</t>
  </si>
  <si>
    <t>Vence 2 M.</t>
  </si>
  <si>
    <t>Vence 3 M.</t>
  </si>
  <si>
    <t>Vence 6 M.</t>
  </si>
  <si>
    <t>Vence 12 M.</t>
  </si>
  <si>
    <t>Vence &gt; 12 M</t>
  </si>
  <si>
    <t xml:space="preserve">T/C aplicable: </t>
  </si>
  <si>
    <t>PARTE II: ACTIVOS DISPONIBLES (expresado en soles)</t>
  </si>
  <si>
    <t>TABLA  1 - FONDOS DISPONIBLES</t>
  </si>
  <si>
    <t>TABLA  2 - DISPONIBLE RESTRINGIDO</t>
  </si>
  <si>
    <t>TABLA  5.1 - PRINCIPALES DEPÓSITOS DE COOPAC</t>
  </si>
  <si>
    <t>TABLA  5.2 - PRINCIPALES DEPÓSITOS DE SOCIOS</t>
  </si>
  <si>
    <t>PARTE III: OBLIGACIONES (expresado en soles)</t>
  </si>
  <si>
    <t>Descripción del nombre</t>
  </si>
  <si>
    <t>(Tabla 2): Detallar el monto declarado en la cuenta contable 1107</t>
  </si>
  <si>
    <t>Nota Metodológica:</t>
  </si>
  <si>
    <t>(Tabla 3): Detallar el monto total de los depósitos con socios, COOPAC y adeudos que la cooperativa cuente a corto plazo</t>
  </si>
  <si>
    <t>TABLA  1.1 - DETALLE DE PRINCIPALES ENTIDADES</t>
  </si>
  <si>
    <t>TABLA  3 - DETALLE DE OBLIGACIONES A CORTO</t>
  </si>
  <si>
    <t>TABLA  4 - DETALLE DE OBLIGACIONES A LARGO PLAZO</t>
  </si>
  <si>
    <t xml:space="preserve">TABLA  5 - PRINCIPALES DEPOSITOS </t>
  </si>
  <si>
    <t>Vencimiento Principal</t>
  </si>
  <si>
    <t>% de Depósitos totales</t>
  </si>
  <si>
    <t>Modalidad</t>
  </si>
  <si>
    <t>Modalidad
Principal</t>
  </si>
  <si>
    <t>(Tabla 1): Detallar montos totales que se encuentren en caja/bóveda, bancos, coopac y otros (especificar); el saldo total deberá coincidir con el saldo de la rubro 11</t>
  </si>
  <si>
    <t>(Tabla1.1): Detallar el monto total por cada entidad financiera en donde la COOPAC cuente con saldo de su disponible, el saldo total total debe de coincidir con la sumatoria de los saldos declarados en tabla 1, en las casillas asociadas a los puntos 2,3 y 4 referentes a Bancos, COOPAC y otros.</t>
  </si>
  <si>
    <t>(Tabla 4):  Detallar el monto total de los depósitos con socios, COOPAC y adeudos que la cooperativa cuente a largo plazo, no contemplados en la Tabla 3</t>
  </si>
  <si>
    <t>(Tabla 5): Para determinar la lista de los 10 principales depositantes tomar en cuenta los saldos totales por depositante, es decir, la suma de sus depósitos en MN y ME sean de corto o largo plazo.</t>
  </si>
  <si>
    <t>- En el caso de obligaciones a la vista, ahorro, a plazo y CTS, se deberá consignar el saldo de depósitos en el horizonte de uno a tres meses.</t>
  </si>
  <si>
    <t xml:space="preserve">          - En caso de los adeudos y obligaciones financieras (amortizaciones e interés devengado) se deben distribuir de acuerdo con el vencimiento residual, y consignar el saldo asociado al horizonte de uno a tres meses.</t>
  </si>
  <si>
    <t xml:space="preserve">          - En caso de las cuentas por pagar que presenten plazo de vencimiento contractual se deben distribuir de acuerdo con su vencimiento residual;, y consignar el saldo asociado al horizonte de uno a tres meses.</t>
  </si>
  <si>
    <t>(Tabla 5.1): Detallar el monto de los 10 principales depositantes tipo entidades cooperativas, deberá consignar el nombre asociado a la entidad tipo cooperativa.</t>
  </si>
  <si>
    <t xml:space="preserve">(Tabla 5.2): Detallar el monto de saldo de depósitos, así cuanto como el porcentaje (%) de participación respecto del total, la modalidad y el vencimiento del principal; no amerita el llenado del nombres, ni DNI ni otro medio de identificación tipo código. </t>
  </si>
  <si>
    <t>Las sumatorias de las Tablas N° 3 y N°4 deberan coincidir con el saldo total del Pasivo, reconocido en la clase 2.</t>
  </si>
  <si>
    <t xml:space="preserve">Vista </t>
  </si>
  <si>
    <t>Ahorro</t>
  </si>
  <si>
    <t>A plazo</t>
  </si>
  <si>
    <t>Restringidas</t>
  </si>
  <si>
    <t>Fondos Intecoopac</t>
  </si>
  <si>
    <t>TABLA  6 - VENCIMIENTO DE DEPÓSITO SOCIOS Y COOPAC</t>
  </si>
  <si>
    <t>(Tabla 6): Detalle del vencimiento de depósitos por plazo, deberá coincidir con lo declarado en tabla 3 y a su vez conciliar con el saldo total de la sumatorio de los rubros 21, 22 y 23</t>
  </si>
  <si>
    <t>(Modalidad Principal): De consignar el tipo de deposito de mayor representatividad, ya sea Deposito a la Vista, de Ahorro, a Plazo, CTS, Restringido o Fondo Intercooperativo</t>
  </si>
  <si>
    <t>Vencimiento</t>
  </si>
  <si>
    <t>(Vencimiento Principal): De consignar el vencimiento de deposito de mayor representatividad, ya sea a 15 días, 30 días, 2 mese, 3 meses, 6 mese, 12 meses o mayor a 12 meses</t>
  </si>
  <si>
    <t>Si</t>
  </si>
  <si>
    <t>BCP</t>
  </si>
  <si>
    <t>Interbank</t>
  </si>
  <si>
    <t>Hector B</t>
  </si>
  <si>
    <t>Otros…(especificar)</t>
  </si>
  <si>
    <t>Alvaro Vidalon</t>
  </si>
  <si>
    <t>Juan Cardenas</t>
  </si>
  <si>
    <t>N° Socios</t>
  </si>
  <si>
    <t>Total de Activos Brutos al 31/12/2020
(S/MM)</t>
  </si>
  <si>
    <t>No. Agencias Total</t>
  </si>
  <si>
    <t>Agencias Abiertas</t>
  </si>
  <si>
    <t>¿Abierta Principal?</t>
  </si>
  <si>
    <t>Capta CTS</t>
  </si>
  <si>
    <t>Fondos Disponibles  / Total de Activos Brutos (S/ MM)</t>
  </si>
  <si>
    <t>Fondos Disponibles sin Restricción (MM)</t>
  </si>
  <si>
    <t>Depósitos de Socios (pasivos, solo capital) (MM)</t>
  </si>
  <si>
    <t>Fondos Disponibles / Depósitos Socios</t>
  </si>
  <si>
    <t>Depósitos 
10 principales depositantes
(MM)</t>
  </si>
  <si>
    <t>% Depósitos 
10 principales depositantes de Depósitos Totales
(MM)</t>
  </si>
  <si>
    <t>Ratio de Liquidez Global (Trimestral)</t>
  </si>
  <si>
    <t>Variación MN</t>
  </si>
  <si>
    <t>Variación ME</t>
  </si>
  <si>
    <t>Activos totales (S/MM)</t>
  </si>
  <si>
    <t>Prueba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</si>
</sst>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 #,##0.00_ ;_ * \-#,##0.00_ ;_ * &quot;-&quot;??_ ;_ @_ "/>
    <numFmt numFmtId="165" formatCode="0.000"/>
    <numFmt numFmtId="166" formatCode="_ * #,##0_ ;_ * \-#,##0_ ;_ * &quot;-&quot;??_ ;_ @_ "/>
    <numFmt numFmtId="167" formatCode="##0.#0,,"/>
  </numFmts>
  <fonts count="16" x14ac:knownFonts="1">
    <font>
      <sz val="11"/>
      <color theme="1"/>
      <name val="Calibri"/>
      <family val="2"/>
      <scheme val="minor"/>
    </font>
    <font>
      <sz val="11"/>
      <color theme="1"/>
      <name val="Calibri"/>
      <family val="2"/>
      <scheme val="minor"/>
    </font>
    <font>
      <sz val="10"/>
      <color theme="1"/>
      <name val="Arial Narrow"/>
      <family val="2"/>
    </font>
    <font>
      <sz val="11"/>
      <color theme="1"/>
      <name val="Arial Narrow"/>
      <family val="2"/>
    </font>
    <font>
      <b/>
      <u/>
      <sz val="11"/>
      <color theme="1"/>
      <name val="Arial Narrow"/>
      <family val="2"/>
    </font>
    <font>
      <b/>
      <sz val="11"/>
      <color theme="1"/>
      <name val="Arial Narrow"/>
      <family val="2"/>
    </font>
    <font>
      <b/>
      <sz val="11"/>
      <name val="Arial Narrow"/>
      <family val="2"/>
    </font>
    <font>
      <sz val="11"/>
      <name val="Arial Narrow"/>
      <family val="2"/>
    </font>
    <font>
      <sz val="10"/>
      <name val="Arial"/>
      <family val="2"/>
    </font>
    <font>
      <u/>
      <sz val="11"/>
      <color theme="1"/>
      <name val="Arial Narrow"/>
      <family val="2"/>
    </font>
    <font>
      <b/>
      <sz val="12"/>
      <color theme="1"/>
      <name val="Arial Narrow"/>
      <family val="2"/>
    </font>
    <font>
      <b/>
      <sz val="11"/>
      <color rgb="FF0070C0"/>
      <name val="Arial Narrow"/>
      <family val="2"/>
    </font>
    <font>
      <sz val="11"/>
      <color rgb="FF0070C0"/>
      <name val="Arial Narrow"/>
      <family val="2"/>
    </font>
    <font>
      <sz val="12"/>
      <color theme="1"/>
      <name val="Arial Narrow"/>
      <family val="2"/>
    </font>
    <font>
      <b/>
      <sz val="15"/>
      <name val="Arial Narrow"/>
      <family val="2"/>
    </font>
    <font>
      <sz val="11"/>
      <color theme="0"/>
      <name val="Calibri"/>
      <family val="2"/>
      <scheme val="minor"/>
    </font>
  </fonts>
  <fills count="9">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0" tint="-0.14999847407452621"/>
        <bgColor indexed="64"/>
      </patternFill>
    </fill>
    <fill>
      <patternFill patternType="solid">
        <fgColor rgb="FF99CCFF"/>
        <bgColor indexed="64"/>
      </patternFill>
    </fill>
    <fill>
      <patternFill patternType="solid">
        <fgColor theme="5" tint="0.39997558519241921"/>
        <bgColor indexed="64"/>
      </patternFill>
    </fill>
    <fill>
      <patternFill patternType="solid">
        <fgColor rgb="FF00B050"/>
        <bgColor indexed="64"/>
      </patternFill>
    </fill>
    <fill>
      <patternFill patternType="solid">
        <fgColor rgb="FF00206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6">
    <xf numFmtId="0" fontId="0" fillId="0" borderId="0"/>
    <xf numFmtId="164" fontId="1" fillId="0" borderId="0" applyFont="0" applyFill="0" applyBorder="0" applyAlignment="0" applyProtection="0"/>
    <xf numFmtId="9" fontId="1" fillId="0" borderId="0" applyFont="0" applyFill="0" applyBorder="0" applyAlignment="0" applyProtection="0"/>
    <xf numFmtId="0" fontId="2" fillId="0" borderId="0"/>
    <xf numFmtId="164" fontId="2" fillId="0" borderId="0" applyFont="0" applyFill="0" applyBorder="0" applyAlignment="0" applyProtection="0"/>
    <xf numFmtId="0" fontId="8" fillId="0" borderId="0"/>
  </cellStyleXfs>
  <cellXfs count="132">
    <xf numFmtId="0" fontId="0" fillId="0" borderId="0" xfId="0"/>
    <xf numFmtId="0" fontId="3" fillId="0" borderId="0" xfId="3" applyFont="1"/>
    <xf numFmtId="0" fontId="3" fillId="0" borderId="1" xfId="3" applyFont="1" applyBorder="1" applyAlignment="1">
      <alignment horizontal="center"/>
    </xf>
    <xf numFmtId="0" fontId="3" fillId="0" borderId="0" xfId="3" applyFont="1" applyBorder="1"/>
    <xf numFmtId="0" fontId="4" fillId="0" borderId="0" xfId="0" applyFont="1" applyBorder="1" applyAlignment="1"/>
    <xf numFmtId="49" fontId="7" fillId="2" borderId="1" xfId="5" applyNumberFormat="1" applyFont="1" applyFill="1" applyBorder="1" applyAlignment="1">
      <alignment horizontal="left" vertical="top"/>
    </xf>
    <xf numFmtId="0" fontId="6" fillId="2" borderId="1" xfId="5" applyFont="1" applyFill="1" applyBorder="1" applyAlignment="1">
      <alignment horizontal="left" vertical="top" wrapText="1"/>
    </xf>
    <xf numFmtId="0" fontId="7" fillId="3" borderId="0" xfId="5" applyFont="1" applyFill="1" applyBorder="1"/>
    <xf numFmtId="49" fontId="6" fillId="3" borderId="0" xfId="5" applyNumberFormat="1" applyFont="1" applyFill="1" applyBorder="1" applyAlignment="1">
      <alignment horizontal="center" vertical="top" wrapText="1"/>
    </xf>
    <xf numFmtId="49" fontId="7" fillId="3" borderId="1" xfId="5" applyNumberFormat="1" applyFont="1" applyFill="1" applyBorder="1" applyAlignment="1">
      <alignment horizontal="left" vertical="top"/>
    </xf>
    <xf numFmtId="0" fontId="6" fillId="3" borderId="1" xfId="5" applyFont="1" applyFill="1" applyBorder="1" applyAlignment="1">
      <alignment horizontal="left" vertical="top" wrapText="1"/>
    </xf>
    <xf numFmtId="49" fontId="7" fillId="3" borderId="1" xfId="5" applyNumberFormat="1" applyFont="1" applyFill="1" applyBorder="1" applyAlignment="1">
      <alignment horizontal="right" vertical="top"/>
    </xf>
    <xf numFmtId="0" fontId="7" fillId="3" borderId="1" xfId="5" applyFont="1" applyFill="1" applyBorder="1" applyAlignment="1">
      <alignment horizontal="left" vertical="top" wrapText="1"/>
    </xf>
    <xf numFmtId="49" fontId="6" fillId="3" borderId="1" xfId="5" applyNumberFormat="1" applyFont="1" applyFill="1" applyBorder="1" applyAlignment="1">
      <alignment vertical="top"/>
    </xf>
    <xf numFmtId="164" fontId="3" fillId="0" borderId="1" xfId="1" applyFont="1" applyBorder="1" applyAlignment="1"/>
    <xf numFmtId="49" fontId="6" fillId="2" borderId="1" xfId="5" applyNumberFormat="1" applyFont="1" applyFill="1" applyBorder="1" applyAlignment="1">
      <alignment horizontal="center" vertical="center" wrapText="1"/>
    </xf>
    <xf numFmtId="164" fontId="7" fillId="3" borderId="1" xfId="1" applyFont="1" applyFill="1" applyBorder="1" applyAlignment="1">
      <alignment horizontal="right" vertical="top"/>
    </xf>
    <xf numFmtId="164" fontId="6" fillId="3" borderId="1" xfId="1" applyFont="1" applyFill="1" applyBorder="1" applyAlignment="1">
      <alignment horizontal="right" vertical="top"/>
    </xf>
    <xf numFmtId="49" fontId="6" fillId="2" borderId="1" xfId="5" applyNumberFormat="1" applyFont="1" applyFill="1" applyBorder="1" applyAlignment="1">
      <alignment horizontal="left" vertical="center" wrapText="1"/>
    </xf>
    <xf numFmtId="164" fontId="6" fillId="2" borderId="1" xfId="1" applyFont="1" applyFill="1" applyBorder="1" applyAlignment="1">
      <alignment horizontal="right" vertical="top"/>
    </xf>
    <xf numFmtId="165" fontId="6" fillId="3" borderId="1" xfId="5" applyNumberFormat="1" applyFont="1" applyFill="1" applyBorder="1"/>
    <xf numFmtId="0" fontId="3" fillId="0" borderId="5" xfId="3" applyFont="1" applyBorder="1"/>
    <xf numFmtId="0" fontId="0" fillId="0" borderId="0" xfId="0" applyNumberFormat="1"/>
    <xf numFmtId="0" fontId="2" fillId="0" borderId="0" xfId="3" applyFont="1"/>
    <xf numFmtId="14" fontId="0" fillId="0" borderId="0" xfId="0" applyNumberFormat="1"/>
    <xf numFmtId="0" fontId="3" fillId="0" borderId="0" xfId="3" applyFont="1" applyAlignment="1">
      <alignment vertical="center"/>
    </xf>
    <xf numFmtId="0" fontId="5" fillId="0" borderId="0" xfId="3" applyFont="1" applyAlignment="1">
      <alignment vertical="center"/>
    </xf>
    <xf numFmtId="0" fontId="3" fillId="0" borderId="9" xfId="3" applyFont="1" applyBorder="1"/>
    <xf numFmtId="0" fontId="3" fillId="0" borderId="10" xfId="3" applyFont="1" applyBorder="1"/>
    <xf numFmtId="0" fontId="5" fillId="0" borderId="9" xfId="3" applyFont="1" applyBorder="1" applyAlignment="1">
      <alignment vertical="center"/>
    </xf>
    <xf numFmtId="0" fontId="3" fillId="0" borderId="10" xfId="3" applyFont="1" applyBorder="1" applyAlignment="1">
      <alignment vertical="center"/>
    </xf>
    <xf numFmtId="0" fontId="3" fillId="0" borderId="12" xfId="3" applyFont="1" applyBorder="1"/>
    <xf numFmtId="0" fontId="3" fillId="0" borderId="0" xfId="3" applyFont="1" applyBorder="1" applyAlignment="1">
      <alignment vertical="center"/>
    </xf>
    <xf numFmtId="164" fontId="5" fillId="4" borderId="1" xfId="3" applyNumberFormat="1" applyFont="1" applyFill="1" applyBorder="1" applyAlignment="1">
      <alignment vertical="center"/>
    </xf>
    <xf numFmtId="0" fontId="5" fillId="0" borderId="0" xfId="3" applyFont="1" applyBorder="1"/>
    <xf numFmtId="0" fontId="3" fillId="0" borderId="9" xfId="3" applyFont="1" applyBorder="1" applyAlignment="1">
      <alignment vertical="center"/>
    </xf>
    <xf numFmtId="0" fontId="3" fillId="0" borderId="11" xfId="3" applyFont="1" applyBorder="1"/>
    <xf numFmtId="0" fontId="4" fillId="0" borderId="0" xfId="3" applyFont="1" applyFill="1" applyBorder="1" applyAlignment="1">
      <alignment horizontal="left" wrapText="1"/>
    </xf>
    <xf numFmtId="0" fontId="5" fillId="0" borderId="10" xfId="3" applyFont="1" applyBorder="1" applyAlignment="1">
      <alignment vertical="center"/>
    </xf>
    <xf numFmtId="0" fontId="9" fillId="0" borderId="0" xfId="3" applyFont="1" applyBorder="1"/>
    <xf numFmtId="0" fontId="5" fillId="0" borderId="5" xfId="3" applyFont="1" applyBorder="1" applyAlignment="1"/>
    <xf numFmtId="0" fontId="5" fillId="0" borderId="12" xfId="3" applyFont="1" applyBorder="1" applyAlignment="1"/>
    <xf numFmtId="0" fontId="5" fillId="4" borderId="1" xfId="3" applyFont="1" applyFill="1" applyBorder="1" applyAlignment="1">
      <alignment vertical="center"/>
    </xf>
    <xf numFmtId="0" fontId="3" fillId="0" borderId="1" xfId="3" applyFont="1" applyBorder="1" applyAlignment="1">
      <alignment horizontal="left" indent="1"/>
    </xf>
    <xf numFmtId="0" fontId="6" fillId="0" borderId="1" xfId="3" applyFont="1" applyFill="1" applyBorder="1" applyAlignment="1">
      <alignment horizontal="center" vertical="center"/>
    </xf>
    <xf numFmtId="0" fontId="6" fillId="0" borderId="1" xfId="3" applyFont="1" applyFill="1" applyBorder="1" applyAlignment="1">
      <alignment horizontal="center" vertical="center" wrapText="1"/>
    </xf>
    <xf numFmtId="0" fontId="6" fillId="3" borderId="1" xfId="3" applyFont="1" applyFill="1" applyBorder="1" applyAlignment="1">
      <alignment horizontal="center" vertical="center" wrapText="1"/>
    </xf>
    <xf numFmtId="0" fontId="10" fillId="0" borderId="0" xfId="3" applyFont="1" applyAlignment="1">
      <alignment vertical="center"/>
    </xf>
    <xf numFmtId="0" fontId="6" fillId="4" borderId="1" xfId="0" applyFont="1" applyFill="1" applyBorder="1" applyAlignment="1">
      <alignment horizontal="center" vertical="center"/>
    </xf>
    <xf numFmtId="0" fontId="5" fillId="0" borderId="1" xfId="0" applyFont="1" applyBorder="1" applyAlignment="1">
      <alignment vertical="center"/>
    </xf>
    <xf numFmtId="166" fontId="3" fillId="0" borderId="1" xfId="1" applyNumberFormat="1" applyFont="1" applyBorder="1" applyAlignment="1"/>
    <xf numFmtId="166" fontId="3" fillId="0" borderId="10" xfId="1" applyNumberFormat="1" applyFont="1" applyBorder="1"/>
    <xf numFmtId="166" fontId="5" fillId="4" borderId="1" xfId="1" applyNumberFormat="1" applyFont="1" applyFill="1" applyBorder="1" applyAlignment="1">
      <alignment vertical="center"/>
    </xf>
    <xf numFmtId="166" fontId="5" fillId="0" borderId="10" xfId="1" applyNumberFormat="1" applyFont="1" applyBorder="1" applyAlignment="1">
      <alignment vertical="center"/>
    </xf>
    <xf numFmtId="166" fontId="3" fillId="0" borderId="0" xfId="1" applyNumberFormat="1" applyFont="1" applyBorder="1"/>
    <xf numFmtId="166" fontId="4" fillId="0" borderId="0" xfId="1" applyNumberFormat="1" applyFont="1" applyFill="1" applyBorder="1" applyAlignment="1">
      <alignment horizontal="left" wrapText="1"/>
    </xf>
    <xf numFmtId="166" fontId="3" fillId="0" borderId="0" xfId="1" applyNumberFormat="1" applyFont="1" applyFill="1" applyBorder="1"/>
    <xf numFmtId="166" fontId="6" fillId="3" borderId="1" xfId="1" applyNumberFormat="1" applyFont="1" applyFill="1" applyBorder="1" applyAlignment="1">
      <alignment horizontal="center" vertical="center"/>
    </xf>
    <xf numFmtId="166" fontId="6" fillId="3" borderId="1" xfId="1" applyNumberFormat="1" applyFont="1" applyFill="1" applyBorder="1" applyAlignment="1">
      <alignment horizontal="center" vertical="center" wrapText="1"/>
    </xf>
    <xf numFmtId="166" fontId="4" fillId="0" borderId="0" xfId="1" applyNumberFormat="1" applyFont="1" applyBorder="1" applyAlignment="1"/>
    <xf numFmtId="166" fontId="5" fillId="0" borderId="1" xfId="1" applyNumberFormat="1" applyFont="1" applyFill="1" applyBorder="1" applyAlignment="1">
      <alignment vertical="center"/>
    </xf>
    <xf numFmtId="166" fontId="3" fillId="0" borderId="0" xfId="1" applyNumberFormat="1" applyFont="1"/>
    <xf numFmtId="166" fontId="5" fillId="0" borderId="0" xfId="1" applyNumberFormat="1" applyFont="1" applyAlignment="1">
      <alignment vertical="center"/>
    </xf>
    <xf numFmtId="0" fontId="3" fillId="0" borderId="0" xfId="3" applyFont="1" applyBorder="1" applyAlignment="1">
      <alignment horizontal="left" vertical="center"/>
    </xf>
    <xf numFmtId="0" fontId="3" fillId="0" borderId="11" xfId="3" applyFont="1" applyBorder="1" applyAlignment="1">
      <alignment vertical="center"/>
    </xf>
    <xf numFmtId="0" fontId="5" fillId="0" borderId="5" xfId="3" applyFont="1" applyBorder="1" applyAlignment="1">
      <alignment vertical="center"/>
    </xf>
    <xf numFmtId="0" fontId="3" fillId="0" borderId="5" xfId="3" applyFont="1" applyBorder="1" applyAlignment="1">
      <alignment vertical="center"/>
    </xf>
    <xf numFmtId="0" fontId="3" fillId="0" borderId="12" xfId="3" applyFont="1" applyBorder="1" applyAlignment="1">
      <alignment vertical="center"/>
    </xf>
    <xf numFmtId="0" fontId="11" fillId="0" borderId="9" xfId="0" applyFont="1" applyBorder="1" applyAlignment="1"/>
    <xf numFmtId="0" fontId="12" fillId="0" borderId="9" xfId="3" applyFont="1" applyBorder="1"/>
    <xf numFmtId="0" fontId="11" fillId="0" borderId="9" xfId="3" applyFont="1" applyBorder="1" applyAlignment="1">
      <alignment vertical="center"/>
    </xf>
    <xf numFmtId="0" fontId="11" fillId="0" borderId="9" xfId="3" applyFont="1" applyFill="1" applyBorder="1" applyAlignment="1">
      <alignment horizontal="left"/>
    </xf>
    <xf numFmtId="0" fontId="3" fillId="3" borderId="0" xfId="3" applyFont="1" applyFill="1" applyBorder="1" applyAlignment="1">
      <alignment vertical="center"/>
    </xf>
    <xf numFmtId="14" fontId="3" fillId="3" borderId="0" xfId="3" applyNumberFormat="1" applyFont="1" applyFill="1" applyBorder="1" applyAlignment="1">
      <alignment horizontal="left" vertical="center"/>
    </xf>
    <xf numFmtId="0" fontId="9" fillId="0" borderId="0" xfId="3" applyFont="1" applyBorder="1" applyAlignment="1">
      <alignment horizontal="left" vertical="center"/>
    </xf>
    <xf numFmtId="0" fontId="9" fillId="3" borderId="0" xfId="3" applyFont="1" applyFill="1" applyBorder="1" applyAlignment="1">
      <alignment vertical="center"/>
    </xf>
    <xf numFmtId="0" fontId="13" fillId="0" borderId="0" xfId="3" quotePrefix="1" applyFont="1" applyAlignment="1">
      <alignment vertical="center"/>
    </xf>
    <xf numFmtId="0" fontId="13" fillId="0" borderId="0" xfId="3" quotePrefix="1" applyFont="1" applyAlignment="1">
      <alignment horizontal="left" vertical="center" indent="1"/>
    </xf>
    <xf numFmtId="0" fontId="13" fillId="0" borderId="0" xfId="3" quotePrefix="1" applyFont="1" applyAlignment="1">
      <alignment horizontal="left" vertical="center" indent="5"/>
    </xf>
    <xf numFmtId="0" fontId="13" fillId="0" borderId="0" xfId="3" applyFont="1" applyFill="1" applyAlignment="1">
      <alignment vertical="center"/>
    </xf>
    <xf numFmtId="0" fontId="6" fillId="3" borderId="1" xfId="3" applyFont="1" applyFill="1" applyBorder="1" applyAlignment="1">
      <alignment horizontal="center" vertical="center"/>
    </xf>
    <xf numFmtId="0" fontId="3" fillId="0" borderId="0" xfId="3" applyFont="1" applyBorder="1" applyAlignment="1" applyProtection="1">
      <alignment vertical="center"/>
      <protection hidden="1"/>
    </xf>
    <xf numFmtId="0" fontId="3" fillId="6" borderId="1" xfId="3" applyFont="1" applyFill="1" applyBorder="1" applyAlignment="1" applyProtection="1">
      <alignment horizontal="left" indent="1"/>
      <protection locked="0"/>
    </xf>
    <xf numFmtId="0" fontId="3" fillId="3" borderId="1" xfId="3" applyFont="1" applyFill="1" applyBorder="1" applyAlignment="1" applyProtection="1">
      <alignment horizontal="left" indent="1"/>
    </xf>
    <xf numFmtId="164" fontId="3" fillId="6" borderId="1" xfId="1" applyNumberFormat="1" applyFont="1" applyFill="1" applyBorder="1" applyAlignment="1" applyProtection="1">
      <protection locked="0"/>
    </xf>
    <xf numFmtId="164" fontId="3" fillId="6" borderId="1" xfId="1" applyNumberFormat="1" applyFont="1" applyFill="1" applyBorder="1" applyAlignment="1" applyProtection="1">
      <alignment wrapText="1"/>
      <protection locked="0"/>
    </xf>
    <xf numFmtId="164" fontId="5" fillId="6" borderId="1" xfId="1" applyNumberFormat="1" applyFont="1" applyFill="1" applyBorder="1" applyAlignment="1" applyProtection="1">
      <alignment vertical="center"/>
      <protection locked="0"/>
    </xf>
    <xf numFmtId="164" fontId="3" fillId="6" borderId="1" xfId="1" applyNumberFormat="1" applyFont="1" applyFill="1" applyBorder="1" applyAlignment="1" applyProtection="1">
      <alignment horizontal="left" vertical="center"/>
      <protection locked="0"/>
    </xf>
    <xf numFmtId="0" fontId="5" fillId="6" borderId="1" xfId="0" applyFont="1" applyFill="1" applyBorder="1" applyAlignment="1" applyProtection="1">
      <alignment vertical="center"/>
      <protection locked="0"/>
    </xf>
    <xf numFmtId="0" fontId="3" fillId="6" borderId="1" xfId="3" applyFont="1" applyFill="1" applyBorder="1" applyAlignment="1" applyProtection="1">
      <alignment horizontal="left" vertical="center"/>
      <protection locked="0"/>
    </xf>
    <xf numFmtId="164" fontId="5" fillId="4" borderId="1" xfId="1" applyNumberFormat="1" applyFont="1" applyFill="1" applyBorder="1" applyAlignment="1">
      <alignment vertical="center"/>
    </xf>
    <xf numFmtId="9" fontId="3" fillId="3" borderId="1" xfId="2" applyFont="1" applyFill="1" applyBorder="1" applyAlignment="1" applyProtection="1"/>
    <xf numFmtId="166" fontId="3" fillId="7" borderId="1" xfId="1" applyNumberFormat="1" applyFont="1" applyFill="1" applyBorder="1" applyAlignment="1" applyProtection="1">
      <alignment horizontal="left" vertical="center"/>
      <protection locked="0"/>
    </xf>
    <xf numFmtId="0" fontId="3" fillId="7" borderId="1" xfId="0" applyFont="1" applyFill="1" applyBorder="1" applyAlignment="1" applyProtection="1">
      <alignment horizontal="left" vertical="center"/>
      <protection locked="0"/>
    </xf>
    <xf numFmtId="0" fontId="15" fillId="8" borderId="1" xfId="3" applyFont="1" applyFill="1" applyBorder="1" applyAlignment="1">
      <alignment horizontal="center" vertical="center" wrapText="1"/>
    </xf>
    <xf numFmtId="0" fontId="0" fillId="0" borderId="1" xfId="0" applyBorder="1"/>
    <xf numFmtId="2" fontId="0" fillId="0" borderId="1" xfId="0" applyNumberFormat="1" applyBorder="1"/>
    <xf numFmtId="10" fontId="0" fillId="0" borderId="1" xfId="2" applyNumberFormat="1" applyFont="1" applyBorder="1"/>
    <xf numFmtId="167" fontId="3" fillId="7" borderId="1" xfId="1" applyNumberFormat="1" applyFont="1" applyFill="1" applyBorder="1" applyAlignment="1" applyProtection="1">
      <alignment horizontal="right" vertical="center"/>
      <protection locked="0"/>
    </xf>
    <xf numFmtId="167" fontId="3" fillId="3" borderId="1" xfId="1" applyNumberFormat="1" applyFont="1" applyFill="1" applyBorder="1" applyAlignment="1" applyProtection="1">
      <alignment horizontal="right" vertical="center"/>
      <protection locked="0"/>
    </xf>
    <xf numFmtId="0" fontId="3" fillId="6" borderId="3" xfId="3" applyFont="1" applyFill="1" applyBorder="1" applyAlignment="1" applyProtection="1">
      <alignment horizontal="left"/>
      <protection locked="0"/>
    </xf>
    <xf numFmtId="0" fontId="3" fillId="6" borderId="4" xfId="3" applyFont="1" applyFill="1" applyBorder="1" applyAlignment="1" applyProtection="1">
      <alignment horizontal="left"/>
      <protection locked="0"/>
    </xf>
    <xf numFmtId="0" fontId="3" fillId="0" borderId="3" xfId="3" applyFont="1" applyBorder="1" applyAlignment="1">
      <alignment horizontal="left"/>
    </xf>
    <xf numFmtId="0" fontId="3" fillId="0" borderId="4" xfId="3" applyFont="1" applyBorder="1" applyAlignment="1">
      <alignment horizontal="left"/>
    </xf>
    <xf numFmtId="0" fontId="3" fillId="6" borderId="3" xfId="3" applyFont="1" applyFill="1" applyBorder="1" applyAlignment="1" applyProtection="1">
      <alignment horizontal="left" wrapText="1"/>
      <protection locked="0"/>
    </xf>
    <xf numFmtId="0" fontId="5" fillId="4" borderId="3" xfId="3" applyFont="1" applyFill="1" applyBorder="1" applyAlignment="1">
      <alignment horizontal="center" vertical="center"/>
    </xf>
    <xf numFmtId="0" fontId="5" fillId="4" borderId="2" xfId="3" applyFont="1" applyFill="1" applyBorder="1" applyAlignment="1">
      <alignment horizontal="center" vertical="center"/>
    </xf>
    <xf numFmtId="0" fontId="5" fillId="4" borderId="4" xfId="3" applyFont="1" applyFill="1" applyBorder="1" applyAlignment="1">
      <alignment horizontal="center" vertical="center"/>
    </xf>
    <xf numFmtId="0" fontId="6" fillId="3" borderId="1" xfId="3" applyFont="1" applyFill="1" applyBorder="1" applyAlignment="1">
      <alignment horizontal="center" vertical="center"/>
    </xf>
    <xf numFmtId="0" fontId="3" fillId="0" borderId="3" xfId="3" applyFont="1" applyBorder="1" applyAlignment="1">
      <alignment horizontal="left" wrapText="1"/>
    </xf>
    <xf numFmtId="0" fontId="6" fillId="0" borderId="3" xfId="3" applyFont="1" applyFill="1" applyBorder="1" applyAlignment="1">
      <alignment horizontal="center" vertical="center"/>
    </xf>
    <xf numFmtId="0" fontId="6" fillId="0" borderId="4" xfId="3" applyFont="1" applyFill="1" applyBorder="1" applyAlignment="1">
      <alignment horizontal="center" vertical="center"/>
    </xf>
    <xf numFmtId="0" fontId="3" fillId="0" borderId="3" xfId="3" applyFont="1" applyFill="1" applyBorder="1" applyAlignment="1">
      <alignment horizontal="center" vertical="center"/>
    </xf>
    <xf numFmtId="0" fontId="3" fillId="0" borderId="2" xfId="3" applyFont="1" applyFill="1" applyBorder="1" applyAlignment="1">
      <alignment horizontal="center" vertical="center"/>
    </xf>
    <xf numFmtId="0" fontId="3" fillId="0" borderId="4" xfId="3" applyFont="1" applyFill="1" applyBorder="1" applyAlignment="1">
      <alignment horizontal="center" vertical="center"/>
    </xf>
    <xf numFmtId="0" fontId="6" fillId="3" borderId="3" xfId="3" applyFont="1" applyFill="1" applyBorder="1" applyAlignment="1">
      <alignment horizontal="center" vertical="center"/>
    </xf>
    <xf numFmtId="0" fontId="6" fillId="3" borderId="2" xfId="3" applyFont="1" applyFill="1" applyBorder="1" applyAlignment="1">
      <alignment horizontal="center" vertical="center"/>
    </xf>
    <xf numFmtId="0" fontId="6" fillId="3" borderId="4" xfId="3" applyFont="1" applyFill="1" applyBorder="1" applyAlignment="1">
      <alignment horizontal="center" vertical="center"/>
    </xf>
    <xf numFmtId="0" fontId="10" fillId="5" borderId="3" xfId="3" applyFont="1" applyFill="1" applyBorder="1" applyAlignment="1">
      <alignment horizontal="left" vertical="center"/>
    </xf>
    <xf numFmtId="0" fontId="10" fillId="5" borderId="2" xfId="3" applyFont="1" applyFill="1" applyBorder="1" applyAlignment="1">
      <alignment horizontal="left" vertical="center"/>
    </xf>
    <xf numFmtId="0" fontId="10" fillId="5" borderId="4" xfId="3" applyFont="1" applyFill="1" applyBorder="1" applyAlignment="1">
      <alignment horizontal="left" vertical="center"/>
    </xf>
    <xf numFmtId="0" fontId="14" fillId="0" borderId="7" xfId="3" applyFont="1" applyFill="1" applyBorder="1" applyAlignment="1">
      <alignment horizontal="center" vertical="center"/>
    </xf>
    <xf numFmtId="0" fontId="14" fillId="0" borderId="6" xfId="3" applyFont="1" applyFill="1" applyBorder="1" applyAlignment="1">
      <alignment horizontal="center" vertical="center"/>
    </xf>
    <xf numFmtId="0" fontId="14" fillId="0" borderId="8" xfId="3"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3" fillId="3" borderId="3" xfId="0" applyFont="1" applyFill="1" applyBorder="1" applyAlignment="1">
      <alignment horizontal="left" vertical="center"/>
    </xf>
    <xf numFmtId="0" fontId="3" fillId="3" borderId="4" xfId="0" applyFont="1" applyFill="1" applyBorder="1" applyAlignment="1">
      <alignment horizontal="left" vertical="center"/>
    </xf>
    <xf numFmtId="0" fontId="3" fillId="0" borderId="3" xfId="0" applyFont="1" applyFill="1" applyBorder="1" applyAlignment="1">
      <alignment horizontal="left" vertical="center"/>
    </xf>
    <xf numFmtId="0" fontId="3" fillId="0" borderId="4" xfId="0" applyFont="1" applyFill="1" applyBorder="1" applyAlignment="1">
      <alignment horizontal="left" vertical="center"/>
    </xf>
    <xf numFmtId="49" fontId="6" fillId="3" borderId="0" xfId="5" applyNumberFormat="1" applyFont="1" applyFill="1" applyBorder="1" applyAlignment="1">
      <alignment horizontal="center" vertical="top" wrapText="1"/>
    </xf>
    <xf numFmtId="0" fontId="7" fillId="3" borderId="0" xfId="5" applyFont="1" applyFill="1" applyBorder="1" applyAlignment="1">
      <alignment horizontal="center"/>
    </xf>
  </cellXfs>
  <cellStyles count="6">
    <cellStyle name="Millares" xfId="1" builtinId="3"/>
    <cellStyle name="Millares 2" xfId="4" xr:uid="{00000000-0005-0000-0000-000001000000}"/>
    <cellStyle name="Normal" xfId="0" builtinId="0"/>
    <cellStyle name="Normal 2" xfId="3" xr:uid="{00000000-0005-0000-0000-000003000000}"/>
    <cellStyle name="Normal 3" xfId="5" xr:uid="{00000000-0005-0000-0000-000004000000}"/>
    <cellStyle name="Porcentaje" xfId="2" builtinId="5"/>
  </cellStyles>
  <dxfs count="0"/>
  <tableStyles count="0" defaultTableStyle="TableStyleMedium2" defaultPivotStyle="PivotStyleLight16"/>
  <colors>
    <mruColors>
      <color rgb="FF99CCFF"/>
      <color rgb="FF0000FF"/>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B1:N116"/>
  <sheetViews>
    <sheetView showGridLines="0" tabSelected="1" zoomScaleNormal="100" workbookViewId="0">
      <selection activeCell="E6" sqref="E6"/>
    </sheetView>
  </sheetViews>
  <sheetFormatPr baseColWidth="10" defaultColWidth="11.5703125" defaultRowHeight="16.5" zeroHeight="1" x14ac:dyDescent="0.3"/>
  <cols>
    <col min="1" max="1" width="1.28515625" style="1" customWidth="1"/>
    <col min="2" max="2" width="2" style="1" customWidth="1"/>
    <col min="3" max="3" width="11.140625" style="1" customWidth="1"/>
    <col min="4" max="4" width="15.7109375" style="1" customWidth="1"/>
    <col min="5" max="5" width="14.28515625" style="1" customWidth="1"/>
    <col min="6" max="8" width="16.140625" style="1" customWidth="1"/>
    <col min="9" max="9" width="2.42578125" style="1" customWidth="1"/>
    <col min="10" max="10" width="42.5703125" style="1" customWidth="1"/>
    <col min="11" max="11" width="19.5703125" style="1" hidden="1" customWidth="1"/>
    <col min="12" max="12" width="12.42578125" style="1" hidden="1" customWidth="1"/>
    <col min="13" max="13" width="13.42578125" style="1" hidden="1" customWidth="1"/>
    <col min="14" max="14" width="11.42578125" style="1" hidden="1" customWidth="1"/>
    <col min="15" max="16382" width="0" style="1" hidden="1" customWidth="1"/>
    <col min="16383" max="16383" width="1.28515625" style="1" customWidth="1"/>
    <col min="16384" max="16384" width="1.85546875" style="1" customWidth="1"/>
  </cols>
  <sheetData>
    <row r="1" spans="2:9" ht="9" customHeight="1" x14ac:dyDescent="0.3"/>
    <row r="2" spans="2:9" s="23" customFormat="1" ht="22.15" customHeight="1" x14ac:dyDescent="0.2">
      <c r="B2" s="121" t="s">
        <v>56</v>
      </c>
      <c r="C2" s="122"/>
      <c r="D2" s="122"/>
      <c r="E2" s="122"/>
      <c r="F2" s="122"/>
      <c r="G2" s="122"/>
      <c r="H2" s="122"/>
      <c r="I2" s="123"/>
    </row>
    <row r="3" spans="2:9" ht="7.15" customHeight="1" x14ac:dyDescent="0.3">
      <c r="B3" s="27"/>
      <c r="C3" s="34"/>
      <c r="D3" s="3"/>
      <c r="E3" s="3"/>
      <c r="F3" s="3"/>
      <c r="G3" s="3"/>
      <c r="H3" s="3"/>
      <c r="I3" s="28"/>
    </row>
    <row r="4" spans="2:9" s="25" customFormat="1" ht="17.45" customHeight="1" x14ac:dyDescent="0.25">
      <c r="B4" s="29"/>
      <c r="C4" s="26" t="s">
        <v>46</v>
      </c>
      <c r="E4" s="89">
        <v>1518</v>
      </c>
      <c r="F4" s="63"/>
      <c r="G4" s="63"/>
      <c r="H4" s="63"/>
      <c r="I4" s="30"/>
    </row>
    <row r="5" spans="2:9" s="25" customFormat="1" ht="17.45" customHeight="1" x14ac:dyDescent="0.25">
      <c r="B5" s="29"/>
      <c r="C5" s="26" t="s">
        <v>45</v>
      </c>
      <c r="E5" s="72" t="s">
        <v>521</v>
      </c>
      <c r="F5" s="75"/>
      <c r="G5" s="75"/>
      <c r="H5" s="75"/>
      <c r="I5" s="30"/>
    </row>
    <row r="6" spans="2:9" s="25" customFormat="1" ht="17.45" customHeight="1" x14ac:dyDescent="0.25">
      <c r="B6" s="29"/>
      <c r="C6" s="26" t="s">
        <v>47</v>
      </c>
      <c r="E6" s="73"/>
      <c r="F6" s="74"/>
      <c r="G6" s="74"/>
      <c r="H6" s="74"/>
      <c r="I6" s="30"/>
    </row>
    <row r="7" spans="2:9" s="25" customFormat="1" ht="4.1500000000000004" customHeight="1" x14ac:dyDescent="0.25">
      <c r="B7" s="64"/>
      <c r="C7" s="65"/>
      <c r="D7" s="66"/>
      <c r="E7" s="66"/>
      <c r="F7" s="66"/>
      <c r="G7" s="66"/>
      <c r="H7" s="66"/>
      <c r="I7" s="67"/>
    </row>
    <row r="8" spans="2:9" s="47" customFormat="1" ht="17.45" customHeight="1" x14ac:dyDescent="0.25">
      <c r="B8" s="118" t="s">
        <v>50</v>
      </c>
      <c r="C8" s="119"/>
      <c r="D8" s="119"/>
      <c r="E8" s="119"/>
      <c r="F8" s="119"/>
      <c r="G8" s="119"/>
      <c r="H8" s="119"/>
      <c r="I8" s="120"/>
    </row>
    <row r="9" spans="2:9" ht="13.15" customHeight="1" x14ac:dyDescent="0.3">
      <c r="B9" s="27"/>
      <c r="C9" s="34"/>
      <c r="D9" s="3"/>
      <c r="E9" s="3"/>
      <c r="F9" s="3"/>
      <c r="G9" s="3"/>
      <c r="H9" s="3"/>
      <c r="I9" s="28"/>
    </row>
    <row r="10" spans="2:9" s="25" customFormat="1" ht="15.6" customHeight="1" x14ac:dyDescent="0.25">
      <c r="B10" s="35"/>
      <c r="C10" s="124" t="s">
        <v>48</v>
      </c>
      <c r="D10" s="125"/>
      <c r="E10" s="48" t="s">
        <v>443</v>
      </c>
      <c r="F10" s="32"/>
      <c r="G10" s="49" t="s">
        <v>459</v>
      </c>
      <c r="H10" s="88"/>
      <c r="I10" s="30"/>
    </row>
    <row r="11" spans="2:9" s="25" customFormat="1" ht="15.6" customHeight="1" x14ac:dyDescent="0.25">
      <c r="B11" s="35"/>
      <c r="C11" s="126" t="s">
        <v>51</v>
      </c>
      <c r="D11" s="127"/>
      <c r="E11" s="92">
        <v>100</v>
      </c>
      <c r="F11" s="32"/>
      <c r="G11" s="32"/>
      <c r="H11" s="32"/>
      <c r="I11" s="30"/>
    </row>
    <row r="12" spans="2:9" s="25" customFormat="1" ht="15.6" customHeight="1" x14ac:dyDescent="0.25">
      <c r="B12" s="35"/>
      <c r="C12" s="126" t="s">
        <v>520</v>
      </c>
      <c r="D12" s="127"/>
      <c r="E12" s="98">
        <v>12000000</v>
      </c>
      <c r="F12" s="32"/>
      <c r="G12" s="32"/>
      <c r="H12" s="32"/>
      <c r="I12" s="30"/>
    </row>
    <row r="13" spans="2:9" s="25" customFormat="1" ht="15.6" customHeight="1" x14ac:dyDescent="0.25">
      <c r="B13" s="35"/>
      <c r="C13" s="126" t="s">
        <v>444</v>
      </c>
      <c r="D13" s="127"/>
      <c r="E13" s="92">
        <v>3</v>
      </c>
      <c r="F13" s="81"/>
      <c r="G13" s="32"/>
      <c r="H13" s="32"/>
      <c r="I13" s="30"/>
    </row>
    <row r="14" spans="2:9" s="25" customFormat="1" ht="15.6" customHeight="1" x14ac:dyDescent="0.25">
      <c r="B14" s="35"/>
      <c r="C14" s="128" t="s">
        <v>445</v>
      </c>
      <c r="D14" s="129"/>
      <c r="E14" s="92">
        <v>2</v>
      </c>
      <c r="F14" s="32"/>
      <c r="G14" s="32"/>
      <c r="H14" s="32"/>
      <c r="I14" s="30"/>
    </row>
    <row r="15" spans="2:9" s="25" customFormat="1" ht="15.6" customHeight="1" x14ac:dyDescent="0.25">
      <c r="B15" s="35"/>
      <c r="C15" s="128" t="s">
        <v>49</v>
      </c>
      <c r="D15" s="129"/>
      <c r="E15" s="93" t="s">
        <v>498</v>
      </c>
      <c r="F15" s="32"/>
      <c r="G15" s="32"/>
      <c r="H15" s="32"/>
      <c r="I15" s="30"/>
    </row>
    <row r="16" spans="2:9" s="25" customFormat="1" ht="15.6" customHeight="1" x14ac:dyDescent="0.25">
      <c r="B16" s="35"/>
      <c r="C16" s="126" t="s">
        <v>52</v>
      </c>
      <c r="D16" s="127"/>
      <c r="E16" s="93" t="s">
        <v>498</v>
      </c>
      <c r="F16" s="32"/>
      <c r="G16" s="32"/>
      <c r="H16" s="32"/>
      <c r="I16" s="30"/>
    </row>
    <row r="17" spans="2:9" ht="10.15" customHeight="1" x14ac:dyDescent="0.3">
      <c r="B17" s="36"/>
      <c r="C17" s="21"/>
      <c r="D17" s="21"/>
      <c r="E17" s="21"/>
      <c r="F17" s="21"/>
      <c r="G17" s="21"/>
      <c r="H17" s="21"/>
      <c r="I17" s="31"/>
    </row>
    <row r="18" spans="2:9" s="47" customFormat="1" ht="17.45" customHeight="1" x14ac:dyDescent="0.25">
      <c r="B18" s="118" t="s">
        <v>460</v>
      </c>
      <c r="C18" s="119"/>
      <c r="D18" s="119"/>
      <c r="E18" s="119"/>
      <c r="F18" s="119"/>
      <c r="G18" s="119"/>
      <c r="H18" s="119"/>
      <c r="I18" s="120"/>
    </row>
    <row r="19" spans="2:9" s="3" customFormat="1" ht="17.45" customHeight="1" x14ac:dyDescent="0.3">
      <c r="B19" s="27"/>
      <c r="I19" s="28"/>
    </row>
    <row r="20" spans="2:9" x14ac:dyDescent="0.3">
      <c r="B20" s="68" t="s">
        <v>461</v>
      </c>
      <c r="C20" s="39"/>
      <c r="D20" s="4"/>
      <c r="E20" s="4"/>
      <c r="F20" s="4"/>
      <c r="G20" s="4"/>
      <c r="H20" s="3"/>
      <c r="I20" s="28"/>
    </row>
    <row r="21" spans="2:9" ht="16.149999999999999" customHeight="1" x14ac:dyDescent="0.3">
      <c r="B21" s="69"/>
      <c r="C21" s="44" t="s">
        <v>4</v>
      </c>
      <c r="D21" s="110" t="s">
        <v>1</v>
      </c>
      <c r="E21" s="111"/>
      <c r="F21" s="44" t="s">
        <v>2</v>
      </c>
      <c r="G21" s="45" t="s">
        <v>31</v>
      </c>
      <c r="H21" s="44" t="s">
        <v>3</v>
      </c>
      <c r="I21" s="28"/>
    </row>
    <row r="22" spans="2:9" ht="15.6" customHeight="1" x14ac:dyDescent="0.3">
      <c r="B22" s="69"/>
      <c r="C22" s="2">
        <v>1</v>
      </c>
      <c r="D22" s="102" t="s">
        <v>5</v>
      </c>
      <c r="E22" s="103"/>
      <c r="F22" s="87">
        <v>100</v>
      </c>
      <c r="G22" s="87">
        <v>50</v>
      </c>
      <c r="H22" s="50">
        <f>SUM(F22:G22)</f>
        <v>150</v>
      </c>
      <c r="I22" s="51"/>
    </row>
    <row r="23" spans="2:9" ht="15.6" customHeight="1" x14ac:dyDescent="0.3">
      <c r="B23" s="69"/>
      <c r="C23" s="2">
        <v>2</v>
      </c>
      <c r="D23" s="102" t="s">
        <v>448</v>
      </c>
      <c r="E23" s="103"/>
      <c r="F23" s="87">
        <v>1200</v>
      </c>
      <c r="G23" s="87">
        <v>1300</v>
      </c>
      <c r="H23" s="50">
        <f t="shared" ref="H23:H25" si="0">SUM(F23:G23)</f>
        <v>2500</v>
      </c>
      <c r="I23" s="51"/>
    </row>
    <row r="24" spans="2:9" ht="15.6" customHeight="1" x14ac:dyDescent="0.3">
      <c r="B24" s="69"/>
      <c r="C24" s="2">
        <v>3</v>
      </c>
      <c r="D24" s="102" t="s">
        <v>449</v>
      </c>
      <c r="E24" s="103"/>
      <c r="F24" s="87">
        <v>2000</v>
      </c>
      <c r="G24" s="87">
        <v>1000</v>
      </c>
      <c r="H24" s="50">
        <f t="shared" si="0"/>
        <v>3000</v>
      </c>
      <c r="I24" s="51"/>
    </row>
    <row r="25" spans="2:9" ht="15.6" customHeight="1" x14ac:dyDescent="0.3">
      <c r="B25" s="69"/>
      <c r="C25" s="2">
        <v>4</v>
      </c>
      <c r="D25" s="102" t="s">
        <v>450</v>
      </c>
      <c r="E25" s="103"/>
      <c r="F25" s="87"/>
      <c r="G25" s="87">
        <v>50</v>
      </c>
      <c r="H25" s="50">
        <f t="shared" si="0"/>
        <v>50</v>
      </c>
      <c r="I25" s="51"/>
    </row>
    <row r="26" spans="2:9" s="26" customFormat="1" ht="15.6" customHeight="1" x14ac:dyDescent="0.25">
      <c r="B26" s="70"/>
      <c r="C26" s="105" t="s">
        <v>0</v>
      </c>
      <c r="D26" s="106"/>
      <c r="E26" s="107"/>
      <c r="F26" s="52">
        <f t="shared" ref="F26" si="1">SUM(F22:F25)</f>
        <v>3300</v>
      </c>
      <c r="G26" s="52">
        <f>+SUM(G22:G25)</f>
        <v>2400</v>
      </c>
      <c r="H26" s="52">
        <f>SUM(H22:H25)</f>
        <v>5700</v>
      </c>
      <c r="I26" s="53"/>
    </row>
    <row r="27" spans="2:9" s="3" customFormat="1" ht="17.45" customHeight="1" x14ac:dyDescent="0.3">
      <c r="B27" s="27"/>
      <c r="I27" s="28"/>
    </row>
    <row r="28" spans="2:9" ht="14.45" customHeight="1" x14ac:dyDescent="0.3">
      <c r="B28" s="71" t="s">
        <v>470</v>
      </c>
      <c r="C28" s="37"/>
      <c r="D28" s="37"/>
      <c r="E28" s="37"/>
      <c r="F28" s="55"/>
      <c r="G28" s="54"/>
      <c r="H28" s="56"/>
      <c r="I28" s="51"/>
    </row>
    <row r="29" spans="2:9" ht="16.149999999999999" customHeight="1" x14ac:dyDescent="0.3">
      <c r="B29" s="69"/>
      <c r="C29" s="44" t="s">
        <v>4</v>
      </c>
      <c r="D29" s="110" t="s">
        <v>1</v>
      </c>
      <c r="E29" s="111"/>
      <c r="F29" s="44" t="s">
        <v>2</v>
      </c>
      <c r="G29" s="45" t="s">
        <v>31</v>
      </c>
      <c r="H29" s="44" t="s">
        <v>3</v>
      </c>
      <c r="I29" s="28"/>
    </row>
    <row r="30" spans="2:9" ht="15.6" customHeight="1" x14ac:dyDescent="0.3">
      <c r="B30" s="69"/>
      <c r="C30" s="2">
        <v>1</v>
      </c>
      <c r="D30" s="100" t="s">
        <v>499</v>
      </c>
      <c r="E30" s="101"/>
      <c r="F30" s="84">
        <v>600</v>
      </c>
      <c r="G30" s="84">
        <v>600</v>
      </c>
      <c r="H30" s="50">
        <f>SUM(F30:G30)</f>
        <v>1200</v>
      </c>
      <c r="I30" s="51"/>
    </row>
    <row r="31" spans="2:9" ht="15.6" customHeight="1" x14ac:dyDescent="0.3">
      <c r="B31" s="69"/>
      <c r="C31" s="2">
        <v>2</v>
      </c>
      <c r="D31" s="100" t="s">
        <v>500</v>
      </c>
      <c r="E31" s="101"/>
      <c r="F31" s="84">
        <v>600</v>
      </c>
      <c r="G31" s="84">
        <v>700</v>
      </c>
      <c r="H31" s="50">
        <f t="shared" ref="H31:H33" si="2">SUM(F31:G31)</f>
        <v>1300</v>
      </c>
      <c r="I31" s="51"/>
    </row>
    <row r="32" spans="2:9" ht="15.6" customHeight="1" x14ac:dyDescent="0.3">
      <c r="B32" s="69"/>
      <c r="C32" s="2">
        <v>3</v>
      </c>
      <c r="D32" s="100"/>
      <c r="E32" s="101"/>
      <c r="F32" s="84"/>
      <c r="G32" s="84"/>
      <c r="H32" s="50">
        <f t="shared" si="2"/>
        <v>0</v>
      </c>
      <c r="I32" s="51"/>
    </row>
    <row r="33" spans="2:9" ht="15.6" customHeight="1" x14ac:dyDescent="0.3">
      <c r="B33" s="69"/>
      <c r="C33" s="2">
        <v>4</v>
      </c>
      <c r="D33" s="100"/>
      <c r="E33" s="101"/>
      <c r="F33" s="84"/>
      <c r="G33" s="84"/>
      <c r="H33" s="50">
        <f t="shared" si="2"/>
        <v>0</v>
      </c>
      <c r="I33" s="51"/>
    </row>
    <row r="34" spans="2:9" ht="15.6" customHeight="1" x14ac:dyDescent="0.3">
      <c r="B34" s="69"/>
      <c r="C34" s="2">
        <v>5</v>
      </c>
      <c r="D34" s="100"/>
      <c r="E34" s="101"/>
      <c r="F34" s="84"/>
      <c r="G34" s="84"/>
      <c r="H34" s="50">
        <f t="shared" ref="H34:H36" si="3">SUM(F34:G34)</f>
        <v>0</v>
      </c>
      <c r="I34" s="51"/>
    </row>
    <row r="35" spans="2:9" ht="15.6" customHeight="1" x14ac:dyDescent="0.3">
      <c r="B35" s="69"/>
      <c r="C35" s="2">
        <v>6</v>
      </c>
      <c r="D35" s="100"/>
      <c r="E35" s="101"/>
      <c r="F35" s="84"/>
      <c r="G35" s="84"/>
      <c r="H35" s="50">
        <f t="shared" si="3"/>
        <v>0</v>
      </c>
      <c r="I35" s="51"/>
    </row>
    <row r="36" spans="2:9" ht="15.6" customHeight="1" x14ac:dyDescent="0.3">
      <c r="B36" s="69"/>
      <c r="C36" s="2">
        <v>7</v>
      </c>
      <c r="D36" s="100"/>
      <c r="E36" s="101"/>
      <c r="F36" s="84"/>
      <c r="G36" s="84"/>
      <c r="H36" s="50">
        <f t="shared" si="3"/>
        <v>0</v>
      </c>
      <c r="I36" s="51"/>
    </row>
    <row r="37" spans="2:9" ht="15.6" customHeight="1" x14ac:dyDescent="0.3">
      <c r="B37" s="69"/>
      <c r="C37" s="2">
        <v>8</v>
      </c>
      <c r="D37" s="100"/>
      <c r="E37" s="101"/>
      <c r="F37" s="84"/>
      <c r="G37" s="84"/>
      <c r="H37" s="50">
        <f t="shared" ref="H37:H41" si="4">SUM(F37:G37)</f>
        <v>0</v>
      </c>
      <c r="I37" s="51"/>
    </row>
    <row r="38" spans="2:9" ht="15.6" customHeight="1" x14ac:dyDescent="0.3">
      <c r="B38" s="69"/>
      <c r="C38" s="2">
        <v>9</v>
      </c>
      <c r="D38" s="100"/>
      <c r="E38" s="101"/>
      <c r="F38" s="84"/>
      <c r="G38" s="84"/>
      <c r="H38" s="50">
        <f t="shared" ref="H38:H39" si="5">SUM(F38:G38)</f>
        <v>0</v>
      </c>
      <c r="I38" s="51"/>
    </row>
    <row r="39" spans="2:9" ht="15.6" customHeight="1" x14ac:dyDescent="0.3">
      <c r="B39" s="69"/>
      <c r="C39" s="2">
        <v>10</v>
      </c>
      <c r="D39" s="100"/>
      <c r="E39" s="101"/>
      <c r="F39" s="84"/>
      <c r="G39" s="84"/>
      <c r="H39" s="50">
        <f t="shared" si="5"/>
        <v>0</v>
      </c>
      <c r="I39" s="51"/>
    </row>
    <row r="40" spans="2:9" ht="15.6" customHeight="1" x14ac:dyDescent="0.3">
      <c r="B40" s="69"/>
      <c r="C40" s="2">
        <v>11</v>
      </c>
      <c r="D40" s="100"/>
      <c r="E40" s="101"/>
      <c r="F40" s="84"/>
      <c r="G40" s="84"/>
      <c r="H40" s="50">
        <f t="shared" si="4"/>
        <v>0</v>
      </c>
      <c r="I40" s="51"/>
    </row>
    <row r="41" spans="2:9" ht="15.6" customHeight="1" x14ac:dyDescent="0.3">
      <c r="B41" s="69"/>
      <c r="C41" s="2">
        <v>12</v>
      </c>
      <c r="D41" s="100"/>
      <c r="E41" s="101"/>
      <c r="F41" s="84"/>
      <c r="G41" s="84"/>
      <c r="H41" s="50">
        <f t="shared" si="4"/>
        <v>0</v>
      </c>
      <c r="I41" s="51"/>
    </row>
    <row r="42" spans="2:9" ht="15.6" customHeight="1" x14ac:dyDescent="0.3">
      <c r="B42" s="69"/>
      <c r="C42" s="2">
        <v>13</v>
      </c>
      <c r="D42" s="100"/>
      <c r="E42" s="101"/>
      <c r="F42" s="84"/>
      <c r="G42" s="84"/>
      <c r="H42" s="50">
        <f t="shared" ref="H42:H49" si="6">SUM(F42:G42)</f>
        <v>0</v>
      </c>
      <c r="I42" s="51"/>
    </row>
    <row r="43" spans="2:9" ht="15.6" customHeight="1" x14ac:dyDescent="0.3">
      <c r="B43" s="69"/>
      <c r="C43" s="2">
        <v>14</v>
      </c>
      <c r="D43" s="100"/>
      <c r="E43" s="101"/>
      <c r="F43" s="84"/>
      <c r="G43" s="84"/>
      <c r="H43" s="50">
        <f t="shared" si="6"/>
        <v>0</v>
      </c>
      <c r="I43" s="51"/>
    </row>
    <row r="44" spans="2:9" ht="15.6" customHeight="1" x14ac:dyDescent="0.3">
      <c r="B44" s="69"/>
      <c r="C44" s="2">
        <v>15</v>
      </c>
      <c r="D44" s="100"/>
      <c r="E44" s="101"/>
      <c r="F44" s="84"/>
      <c r="G44" s="84"/>
      <c r="H44" s="50">
        <f t="shared" si="6"/>
        <v>0</v>
      </c>
      <c r="I44" s="51"/>
    </row>
    <row r="45" spans="2:9" ht="15.6" customHeight="1" x14ac:dyDescent="0.3">
      <c r="B45" s="69"/>
      <c r="C45" s="2">
        <v>16</v>
      </c>
      <c r="D45" s="100"/>
      <c r="E45" s="101"/>
      <c r="F45" s="84"/>
      <c r="G45" s="84"/>
      <c r="H45" s="50">
        <f t="shared" si="6"/>
        <v>0</v>
      </c>
      <c r="I45" s="51"/>
    </row>
    <row r="46" spans="2:9" ht="15.6" customHeight="1" x14ac:dyDescent="0.3">
      <c r="B46" s="69"/>
      <c r="C46" s="2">
        <v>17</v>
      </c>
      <c r="D46" s="100"/>
      <c r="E46" s="101"/>
      <c r="F46" s="84"/>
      <c r="G46" s="84"/>
      <c r="H46" s="50">
        <f t="shared" si="6"/>
        <v>0</v>
      </c>
      <c r="I46" s="51"/>
    </row>
    <row r="47" spans="2:9" ht="15.6" customHeight="1" x14ac:dyDescent="0.3">
      <c r="B47" s="69"/>
      <c r="C47" s="2">
        <v>18</v>
      </c>
      <c r="D47" s="100"/>
      <c r="E47" s="101"/>
      <c r="F47" s="84"/>
      <c r="G47" s="84"/>
      <c r="H47" s="50">
        <f t="shared" si="6"/>
        <v>0</v>
      </c>
      <c r="I47" s="51"/>
    </row>
    <row r="48" spans="2:9" ht="15.6" customHeight="1" x14ac:dyDescent="0.3">
      <c r="B48" s="69"/>
      <c r="C48" s="2">
        <v>19</v>
      </c>
      <c r="D48" s="100"/>
      <c r="E48" s="101"/>
      <c r="F48" s="84"/>
      <c r="G48" s="84"/>
      <c r="H48" s="50">
        <f t="shared" si="6"/>
        <v>0</v>
      </c>
      <c r="I48" s="51"/>
    </row>
    <row r="49" spans="2:9" ht="15.6" customHeight="1" x14ac:dyDescent="0.3">
      <c r="B49" s="69"/>
      <c r="C49" s="2">
        <v>20</v>
      </c>
      <c r="D49" s="100"/>
      <c r="E49" s="101"/>
      <c r="F49" s="84"/>
      <c r="G49" s="84"/>
      <c r="H49" s="50">
        <f t="shared" si="6"/>
        <v>0</v>
      </c>
      <c r="I49" s="51"/>
    </row>
    <row r="50" spans="2:9" s="26" customFormat="1" ht="15.6" customHeight="1" x14ac:dyDescent="0.25">
      <c r="B50" s="70"/>
      <c r="C50" s="105" t="s">
        <v>0</v>
      </c>
      <c r="D50" s="106"/>
      <c r="E50" s="107"/>
      <c r="F50" s="52">
        <f>SUM(F30:F42)</f>
        <v>1200</v>
      </c>
      <c r="G50" s="52">
        <f>SUM(G30:G42)</f>
        <v>1300</v>
      </c>
      <c r="H50" s="52">
        <f>SUM(H30:H42)</f>
        <v>2500</v>
      </c>
      <c r="I50" s="53"/>
    </row>
    <row r="51" spans="2:9" s="3" customFormat="1" ht="17.45" customHeight="1" x14ac:dyDescent="0.3">
      <c r="B51" s="27"/>
      <c r="I51" s="28"/>
    </row>
    <row r="52" spans="2:9" x14ac:dyDescent="0.3">
      <c r="B52" s="68" t="s">
        <v>462</v>
      </c>
      <c r="C52" s="3"/>
      <c r="D52" s="4"/>
      <c r="E52" s="4"/>
      <c r="F52" s="59"/>
      <c r="G52" s="59"/>
      <c r="H52" s="54"/>
      <c r="I52" s="51"/>
    </row>
    <row r="53" spans="2:9" ht="19.899999999999999" customHeight="1" x14ac:dyDescent="0.3">
      <c r="B53" s="27"/>
      <c r="C53" s="80" t="s">
        <v>53</v>
      </c>
      <c r="D53" s="108" t="s">
        <v>55</v>
      </c>
      <c r="E53" s="108"/>
      <c r="F53" s="44" t="s">
        <v>2</v>
      </c>
      <c r="G53" s="45" t="s">
        <v>31</v>
      </c>
      <c r="H53" s="57" t="s">
        <v>3</v>
      </c>
      <c r="I53" s="51"/>
    </row>
    <row r="54" spans="2:9" ht="15.6" customHeight="1" x14ac:dyDescent="0.3">
      <c r="B54" s="27"/>
      <c r="C54" s="2">
        <v>1107</v>
      </c>
      <c r="D54" s="102" t="s">
        <v>446</v>
      </c>
      <c r="E54" s="103"/>
      <c r="F54" s="84">
        <v>1000</v>
      </c>
      <c r="G54" s="84">
        <v>1000</v>
      </c>
      <c r="H54" s="50">
        <f>SUM(F54:G54)</f>
        <v>2000</v>
      </c>
      <c r="I54" s="51"/>
    </row>
    <row r="55" spans="2:9" s="3" customFormat="1" ht="17.45" customHeight="1" x14ac:dyDescent="0.3">
      <c r="B55" s="27"/>
      <c r="I55" s="28"/>
    </row>
    <row r="56" spans="2:9" s="47" customFormat="1" ht="17.45" customHeight="1" x14ac:dyDescent="0.25">
      <c r="B56" s="118" t="s">
        <v>465</v>
      </c>
      <c r="C56" s="119"/>
      <c r="D56" s="119"/>
      <c r="E56" s="119"/>
      <c r="F56" s="119"/>
      <c r="G56" s="119"/>
      <c r="H56" s="119"/>
      <c r="I56" s="120"/>
    </row>
    <row r="57" spans="2:9" s="3" customFormat="1" ht="17.45" customHeight="1" x14ac:dyDescent="0.3">
      <c r="B57" s="27"/>
      <c r="I57" s="28"/>
    </row>
    <row r="58" spans="2:9" s="3" customFormat="1" x14ac:dyDescent="0.3">
      <c r="B58" s="68" t="s">
        <v>471</v>
      </c>
      <c r="D58" s="4"/>
      <c r="E58" s="4"/>
      <c r="F58" s="4"/>
      <c r="G58" s="4"/>
      <c r="I58" s="28"/>
    </row>
    <row r="59" spans="2:9" ht="21.6" customHeight="1" x14ac:dyDescent="0.3">
      <c r="B59" s="69"/>
      <c r="C59" s="80" t="s">
        <v>4</v>
      </c>
      <c r="D59" s="108" t="s">
        <v>1</v>
      </c>
      <c r="E59" s="108"/>
      <c r="F59" s="44" t="s">
        <v>2</v>
      </c>
      <c r="G59" s="45" t="s">
        <v>31</v>
      </c>
      <c r="H59" s="80" t="s">
        <v>3</v>
      </c>
      <c r="I59" s="28"/>
    </row>
    <row r="60" spans="2:9" ht="15.6" customHeight="1" x14ac:dyDescent="0.3">
      <c r="B60" s="69"/>
      <c r="C60" s="2">
        <v>1</v>
      </c>
      <c r="D60" s="102" t="s">
        <v>36</v>
      </c>
      <c r="E60" s="103"/>
      <c r="F60" s="84">
        <v>10000</v>
      </c>
      <c r="G60" s="84">
        <v>300</v>
      </c>
      <c r="H60" s="14">
        <f>SUM(F60:G60)</f>
        <v>10300</v>
      </c>
      <c r="I60" s="28"/>
    </row>
    <row r="61" spans="2:9" ht="15.6" customHeight="1" x14ac:dyDescent="0.3">
      <c r="B61" s="69"/>
      <c r="C61" s="2">
        <v>2</v>
      </c>
      <c r="D61" s="102" t="s">
        <v>37</v>
      </c>
      <c r="E61" s="103"/>
      <c r="F61" s="84">
        <v>500</v>
      </c>
      <c r="G61" s="84">
        <v>600</v>
      </c>
      <c r="H61" s="14">
        <f t="shared" ref="H61:H62" si="7">SUM(F61:G61)</f>
        <v>1100</v>
      </c>
      <c r="I61" s="28"/>
    </row>
    <row r="62" spans="2:9" ht="15.6" customHeight="1" x14ac:dyDescent="0.3">
      <c r="B62" s="69"/>
      <c r="C62" s="2">
        <v>3</v>
      </c>
      <c r="D62" s="109" t="s">
        <v>447</v>
      </c>
      <c r="E62" s="103"/>
      <c r="F62" s="85">
        <v>700</v>
      </c>
      <c r="G62" s="84">
        <v>800</v>
      </c>
      <c r="H62" s="14">
        <f t="shared" si="7"/>
        <v>1500</v>
      </c>
      <c r="I62" s="28"/>
    </row>
    <row r="63" spans="2:9" ht="15.6" customHeight="1" x14ac:dyDescent="0.3">
      <c r="B63" s="69"/>
      <c r="C63" s="2">
        <v>4</v>
      </c>
      <c r="D63" s="104" t="s">
        <v>502</v>
      </c>
      <c r="E63" s="101"/>
      <c r="F63" s="85"/>
      <c r="G63" s="84"/>
      <c r="H63" s="14"/>
      <c r="I63" s="28"/>
    </row>
    <row r="64" spans="2:9" s="26" customFormat="1" ht="15.6" customHeight="1" x14ac:dyDescent="0.25">
      <c r="B64" s="70"/>
      <c r="C64" s="105" t="s">
        <v>0</v>
      </c>
      <c r="D64" s="106"/>
      <c r="E64" s="107"/>
      <c r="F64" s="33">
        <f>SUM(F60:F63)</f>
        <v>11200</v>
      </c>
      <c r="G64" s="33">
        <f>SUM(G60:G63)</f>
        <v>1700</v>
      </c>
      <c r="H64" s="60">
        <f>SUM(H60:H63)</f>
        <v>12900</v>
      </c>
      <c r="I64" s="38"/>
    </row>
    <row r="65" spans="2:10" s="3" customFormat="1" ht="17.45" customHeight="1" x14ac:dyDescent="0.3">
      <c r="B65" s="27"/>
      <c r="I65" s="28"/>
    </row>
    <row r="66" spans="2:10" x14ac:dyDescent="0.3">
      <c r="B66" s="68" t="s">
        <v>472</v>
      </c>
      <c r="C66" s="3"/>
      <c r="D66" s="4"/>
      <c r="E66" s="4"/>
      <c r="F66" s="4"/>
      <c r="G66" s="4"/>
      <c r="H66" s="3"/>
      <c r="I66" s="28"/>
    </row>
    <row r="67" spans="2:10" ht="19.149999999999999" customHeight="1" x14ac:dyDescent="0.3">
      <c r="B67" s="69"/>
      <c r="C67" s="80" t="s">
        <v>4</v>
      </c>
      <c r="D67" s="108" t="s">
        <v>1</v>
      </c>
      <c r="E67" s="108"/>
      <c r="F67" s="44" t="s">
        <v>2</v>
      </c>
      <c r="G67" s="45" t="s">
        <v>31</v>
      </c>
      <c r="H67" s="80" t="s">
        <v>3</v>
      </c>
      <c r="I67" s="28"/>
    </row>
    <row r="68" spans="2:10" ht="15.6" customHeight="1" x14ac:dyDescent="0.3">
      <c r="B68" s="69"/>
      <c r="C68" s="2">
        <v>1</v>
      </c>
      <c r="D68" s="102" t="s">
        <v>36</v>
      </c>
      <c r="E68" s="103"/>
      <c r="F68" s="84">
        <v>10000</v>
      </c>
      <c r="G68" s="84">
        <v>300</v>
      </c>
      <c r="H68" s="14">
        <f>SUM(F68:G68)</f>
        <v>10300</v>
      </c>
      <c r="I68" s="28"/>
    </row>
    <row r="69" spans="2:10" ht="15.6" customHeight="1" x14ac:dyDescent="0.3">
      <c r="B69" s="69"/>
      <c r="C69" s="2">
        <v>2</v>
      </c>
      <c r="D69" s="102" t="s">
        <v>37</v>
      </c>
      <c r="E69" s="103"/>
      <c r="F69" s="84">
        <v>500</v>
      </c>
      <c r="G69" s="84">
        <v>600</v>
      </c>
      <c r="H69" s="14">
        <f t="shared" ref="H69:H70" si="8">SUM(F69:G69)</f>
        <v>1100</v>
      </c>
      <c r="I69" s="28"/>
    </row>
    <row r="70" spans="2:10" ht="15.6" customHeight="1" x14ac:dyDescent="0.3">
      <c r="B70" s="69"/>
      <c r="C70" s="2">
        <v>3</v>
      </c>
      <c r="D70" s="109" t="s">
        <v>447</v>
      </c>
      <c r="E70" s="103"/>
      <c r="F70" s="85">
        <v>700</v>
      </c>
      <c r="G70" s="84">
        <v>800</v>
      </c>
      <c r="H70" s="14">
        <f t="shared" si="8"/>
        <v>1500</v>
      </c>
      <c r="I70" s="28"/>
    </row>
    <row r="71" spans="2:10" ht="15.6" customHeight="1" x14ac:dyDescent="0.3">
      <c r="B71" s="69"/>
      <c r="C71" s="2">
        <v>4</v>
      </c>
      <c r="D71" s="104" t="s">
        <v>502</v>
      </c>
      <c r="E71" s="101"/>
      <c r="F71" s="85"/>
      <c r="G71" s="84"/>
      <c r="H71" s="14"/>
      <c r="I71" s="28"/>
    </row>
    <row r="72" spans="2:10" s="26" customFormat="1" ht="15.6" customHeight="1" x14ac:dyDescent="0.25">
      <c r="B72" s="70"/>
      <c r="C72" s="105" t="s">
        <v>0</v>
      </c>
      <c r="D72" s="106"/>
      <c r="E72" s="107"/>
      <c r="F72" s="33">
        <f>SUM(F68:F71)</f>
        <v>11200</v>
      </c>
      <c r="G72" s="33">
        <f>SUM(G68:G71)</f>
        <v>1700</v>
      </c>
      <c r="H72" s="33">
        <f t="shared" ref="H72" si="9">SUM(H68:H71)</f>
        <v>12900</v>
      </c>
      <c r="I72" s="38"/>
    </row>
    <row r="73" spans="2:10" s="3" customFormat="1" ht="17.45" customHeight="1" x14ac:dyDescent="0.3">
      <c r="B73" s="27"/>
      <c r="I73" s="28"/>
    </row>
    <row r="74" spans="2:10" x14ac:dyDescent="0.3">
      <c r="B74" s="68" t="s">
        <v>473</v>
      </c>
      <c r="C74" s="3"/>
      <c r="D74" s="4"/>
      <c r="E74" s="4"/>
      <c r="F74" s="4"/>
      <c r="G74" s="4"/>
      <c r="H74" s="3"/>
      <c r="I74" s="28"/>
    </row>
    <row r="75" spans="2:10" ht="17.45" customHeight="1" x14ac:dyDescent="0.3">
      <c r="B75" s="69"/>
      <c r="C75" s="115" t="s">
        <v>55</v>
      </c>
      <c r="D75" s="116"/>
      <c r="E75" s="117"/>
      <c r="F75" s="44" t="s">
        <v>2</v>
      </c>
      <c r="G75" s="45" t="s">
        <v>31</v>
      </c>
      <c r="H75" s="80" t="s">
        <v>3</v>
      </c>
      <c r="I75" s="28"/>
      <c r="J75" s="25"/>
    </row>
    <row r="76" spans="2:10" s="26" customFormat="1" ht="15.6" customHeight="1" x14ac:dyDescent="0.25">
      <c r="B76" s="70"/>
      <c r="C76" s="112" t="s">
        <v>54</v>
      </c>
      <c r="D76" s="113"/>
      <c r="E76" s="114"/>
      <c r="F76" s="86">
        <v>12000</v>
      </c>
      <c r="G76" s="86"/>
      <c r="H76" s="60">
        <f>+F76+G76</f>
        <v>12000</v>
      </c>
      <c r="I76" s="38"/>
    </row>
    <row r="77" spans="2:10" s="3" customFormat="1" ht="17.45" customHeight="1" x14ac:dyDescent="0.3">
      <c r="B77" s="27"/>
      <c r="I77" s="28"/>
    </row>
    <row r="78" spans="2:10" x14ac:dyDescent="0.3">
      <c r="B78" s="68" t="s">
        <v>463</v>
      </c>
      <c r="C78" s="3"/>
      <c r="D78" s="4"/>
      <c r="E78" s="4"/>
      <c r="F78" s="4"/>
      <c r="G78" s="4"/>
      <c r="H78" s="3"/>
      <c r="I78" s="28"/>
    </row>
    <row r="79" spans="2:10" ht="33" customHeight="1" x14ac:dyDescent="0.3">
      <c r="B79" s="69"/>
      <c r="C79" s="80" t="s">
        <v>4</v>
      </c>
      <c r="D79" s="108" t="s">
        <v>466</v>
      </c>
      <c r="E79" s="108"/>
      <c r="F79" s="44" t="s">
        <v>2</v>
      </c>
      <c r="G79" s="45" t="s">
        <v>31</v>
      </c>
      <c r="H79" s="80" t="s">
        <v>3</v>
      </c>
      <c r="I79" s="28"/>
    </row>
    <row r="80" spans="2:10" ht="15.6" customHeight="1" x14ac:dyDescent="0.3">
      <c r="B80" s="69"/>
      <c r="C80" s="2">
        <v>1</v>
      </c>
      <c r="D80" s="100" t="s">
        <v>501</v>
      </c>
      <c r="E80" s="101"/>
      <c r="F80" s="84">
        <v>500</v>
      </c>
      <c r="G80" s="84">
        <v>300</v>
      </c>
      <c r="H80" s="50">
        <f>+F80+G80</f>
        <v>800</v>
      </c>
      <c r="I80" s="28"/>
    </row>
    <row r="81" spans="2:9" ht="15.6" customHeight="1" x14ac:dyDescent="0.3">
      <c r="B81" s="69"/>
      <c r="C81" s="2">
        <v>2</v>
      </c>
      <c r="D81" s="100"/>
      <c r="E81" s="101"/>
      <c r="F81" s="84"/>
      <c r="G81" s="84"/>
      <c r="H81" s="50">
        <f t="shared" ref="H81:H88" si="10">+F81+G81</f>
        <v>0</v>
      </c>
      <c r="I81" s="28"/>
    </row>
    <row r="82" spans="2:9" ht="15.6" customHeight="1" x14ac:dyDescent="0.3">
      <c r="B82" s="69"/>
      <c r="C82" s="2">
        <v>3</v>
      </c>
      <c r="D82" s="100"/>
      <c r="E82" s="101"/>
      <c r="F82" s="85"/>
      <c r="G82" s="84"/>
      <c r="H82" s="50">
        <f t="shared" si="10"/>
        <v>0</v>
      </c>
      <c r="I82" s="28"/>
    </row>
    <row r="83" spans="2:9" ht="15.6" customHeight="1" x14ac:dyDescent="0.3">
      <c r="B83" s="69"/>
      <c r="C83" s="2">
        <v>4</v>
      </c>
      <c r="D83" s="100"/>
      <c r="E83" s="101"/>
      <c r="F83" s="85"/>
      <c r="G83" s="84"/>
      <c r="H83" s="50">
        <f t="shared" si="10"/>
        <v>0</v>
      </c>
      <c r="I83" s="28"/>
    </row>
    <row r="84" spans="2:9" ht="15.6" customHeight="1" x14ac:dyDescent="0.3">
      <c r="B84" s="69"/>
      <c r="C84" s="2">
        <v>6</v>
      </c>
      <c r="D84" s="100"/>
      <c r="E84" s="101"/>
      <c r="F84" s="85"/>
      <c r="G84" s="84"/>
      <c r="H84" s="50">
        <f t="shared" si="10"/>
        <v>0</v>
      </c>
      <c r="I84" s="28"/>
    </row>
    <row r="85" spans="2:9" ht="15.6" customHeight="1" x14ac:dyDescent="0.3">
      <c r="B85" s="69"/>
      <c r="C85" s="2">
        <v>7</v>
      </c>
      <c r="D85" s="100"/>
      <c r="E85" s="101"/>
      <c r="F85" s="85"/>
      <c r="G85" s="84"/>
      <c r="H85" s="50">
        <f t="shared" si="10"/>
        <v>0</v>
      </c>
      <c r="I85" s="28"/>
    </row>
    <row r="86" spans="2:9" ht="15.6" customHeight="1" x14ac:dyDescent="0.3">
      <c r="B86" s="69"/>
      <c r="C86" s="2">
        <v>8</v>
      </c>
      <c r="D86" s="100"/>
      <c r="E86" s="101"/>
      <c r="F86" s="85"/>
      <c r="G86" s="84"/>
      <c r="H86" s="50">
        <f t="shared" si="10"/>
        <v>0</v>
      </c>
      <c r="I86" s="28"/>
    </row>
    <row r="87" spans="2:9" ht="15.6" customHeight="1" x14ac:dyDescent="0.3">
      <c r="B87" s="69"/>
      <c r="C87" s="2">
        <v>9</v>
      </c>
      <c r="D87" s="100"/>
      <c r="E87" s="101"/>
      <c r="F87" s="85"/>
      <c r="G87" s="84"/>
      <c r="H87" s="50">
        <f t="shared" si="10"/>
        <v>0</v>
      </c>
      <c r="I87" s="28"/>
    </row>
    <row r="88" spans="2:9" ht="15.6" customHeight="1" x14ac:dyDescent="0.3">
      <c r="B88" s="69"/>
      <c r="C88" s="2">
        <v>10</v>
      </c>
      <c r="D88" s="100"/>
      <c r="E88" s="101"/>
      <c r="F88" s="85"/>
      <c r="G88" s="84"/>
      <c r="H88" s="50">
        <f t="shared" si="10"/>
        <v>0</v>
      </c>
      <c r="I88" s="28"/>
    </row>
    <row r="89" spans="2:9" s="26" customFormat="1" ht="15.6" customHeight="1" x14ac:dyDescent="0.25">
      <c r="B89" s="70"/>
      <c r="C89" s="105" t="s">
        <v>0</v>
      </c>
      <c r="D89" s="106"/>
      <c r="E89" s="107"/>
      <c r="F89" s="52">
        <f>SUM(F80:F88)</f>
        <v>500</v>
      </c>
      <c r="G89" s="52">
        <f t="shared" ref="G89:H89" si="11">SUM(G80:G88)</f>
        <v>300</v>
      </c>
      <c r="H89" s="52">
        <f t="shared" si="11"/>
        <v>800</v>
      </c>
      <c r="I89" s="38"/>
    </row>
    <row r="90" spans="2:9" s="3" customFormat="1" ht="17.45" customHeight="1" x14ac:dyDescent="0.3">
      <c r="B90" s="27"/>
      <c r="I90" s="28"/>
    </row>
    <row r="91" spans="2:9" x14ac:dyDescent="0.3">
      <c r="B91" s="68" t="s">
        <v>464</v>
      </c>
      <c r="C91" s="3"/>
      <c r="D91" s="4"/>
      <c r="E91" s="4"/>
      <c r="F91" s="59"/>
      <c r="G91" s="59"/>
      <c r="H91" s="54"/>
      <c r="I91" s="28"/>
    </row>
    <row r="92" spans="2:9" ht="33" customHeight="1" x14ac:dyDescent="0.3">
      <c r="B92" s="69"/>
      <c r="C92" s="80" t="s">
        <v>4</v>
      </c>
      <c r="D92" s="80" t="s">
        <v>55</v>
      </c>
      <c r="E92" s="46" t="s">
        <v>451</v>
      </c>
      <c r="F92" s="58" t="s">
        <v>475</v>
      </c>
      <c r="G92" s="46" t="s">
        <v>477</v>
      </c>
      <c r="H92" s="46" t="s">
        <v>474</v>
      </c>
      <c r="I92" s="28"/>
    </row>
    <row r="93" spans="2:9" ht="15.6" customHeight="1" x14ac:dyDescent="0.3">
      <c r="B93" s="69"/>
      <c r="C93" s="2">
        <v>1</v>
      </c>
      <c r="D93" s="82" t="s">
        <v>503</v>
      </c>
      <c r="E93" s="84">
        <v>10000</v>
      </c>
      <c r="F93" s="91">
        <f>IF(E93/($H$60+$H$68)=0,0,E93/($H$60+$H$68))</f>
        <v>0.4854368932038835</v>
      </c>
      <c r="G93" s="84"/>
      <c r="H93" s="84"/>
      <c r="I93" s="28"/>
    </row>
    <row r="94" spans="2:9" ht="15.6" customHeight="1" x14ac:dyDescent="0.3">
      <c r="B94" s="69"/>
      <c r="C94" s="2">
        <v>2</v>
      </c>
      <c r="D94" s="82" t="s">
        <v>504</v>
      </c>
      <c r="E94" s="84">
        <v>2000</v>
      </c>
      <c r="F94" s="91">
        <f t="shared" ref="F94:F102" si="12">IF(E94/($H$60+$H$68)=0,0,E94/($H$60+$H$68))</f>
        <v>9.7087378640776698E-2</v>
      </c>
      <c r="G94" s="84"/>
      <c r="H94" s="84"/>
      <c r="I94" s="28"/>
    </row>
    <row r="95" spans="2:9" ht="15.6" customHeight="1" x14ac:dyDescent="0.3">
      <c r="B95" s="69"/>
      <c r="C95" s="2">
        <v>3</v>
      </c>
      <c r="D95" s="82"/>
      <c r="E95" s="85"/>
      <c r="F95" s="91">
        <f t="shared" si="12"/>
        <v>0</v>
      </c>
      <c r="G95" s="84"/>
      <c r="H95" s="84"/>
      <c r="I95" s="28"/>
    </row>
    <row r="96" spans="2:9" ht="15.6" customHeight="1" x14ac:dyDescent="0.3">
      <c r="B96" s="69"/>
      <c r="C96" s="2">
        <v>4</v>
      </c>
      <c r="D96" s="82"/>
      <c r="E96" s="85"/>
      <c r="F96" s="91">
        <f t="shared" si="12"/>
        <v>0</v>
      </c>
      <c r="G96" s="84"/>
      <c r="H96" s="84"/>
      <c r="I96" s="28"/>
    </row>
    <row r="97" spans="2:9" ht="15.6" customHeight="1" x14ac:dyDescent="0.3">
      <c r="B97" s="69"/>
      <c r="C97" s="2">
        <v>5</v>
      </c>
      <c r="D97" s="82"/>
      <c r="E97" s="85"/>
      <c r="F97" s="91">
        <f t="shared" si="12"/>
        <v>0</v>
      </c>
      <c r="G97" s="84"/>
      <c r="H97" s="84"/>
      <c r="I97" s="28"/>
    </row>
    <row r="98" spans="2:9" ht="15.6" customHeight="1" x14ac:dyDescent="0.3">
      <c r="B98" s="69"/>
      <c r="C98" s="2">
        <v>6</v>
      </c>
      <c r="D98" s="82"/>
      <c r="E98" s="85"/>
      <c r="F98" s="91">
        <f t="shared" si="12"/>
        <v>0</v>
      </c>
      <c r="G98" s="84"/>
      <c r="H98" s="84"/>
      <c r="I98" s="28"/>
    </row>
    <row r="99" spans="2:9" ht="15.6" customHeight="1" x14ac:dyDescent="0.3">
      <c r="B99" s="69"/>
      <c r="C99" s="2">
        <v>7</v>
      </c>
      <c r="D99" s="82"/>
      <c r="E99" s="85"/>
      <c r="F99" s="91">
        <f t="shared" si="12"/>
        <v>0</v>
      </c>
      <c r="G99" s="84"/>
      <c r="H99" s="84"/>
      <c r="I99" s="28"/>
    </row>
    <row r="100" spans="2:9" ht="15.6" customHeight="1" x14ac:dyDescent="0.3">
      <c r="B100" s="69"/>
      <c r="C100" s="2">
        <v>8</v>
      </c>
      <c r="D100" s="82"/>
      <c r="E100" s="85"/>
      <c r="F100" s="91">
        <f t="shared" si="12"/>
        <v>0</v>
      </c>
      <c r="G100" s="84"/>
      <c r="H100" s="84"/>
      <c r="I100" s="28"/>
    </row>
    <row r="101" spans="2:9" ht="15.6" customHeight="1" x14ac:dyDescent="0.3">
      <c r="B101" s="69"/>
      <c r="C101" s="2">
        <v>9</v>
      </c>
      <c r="D101" s="82"/>
      <c r="E101" s="85"/>
      <c r="F101" s="91">
        <f t="shared" si="12"/>
        <v>0</v>
      </c>
      <c r="G101" s="84"/>
      <c r="H101" s="84"/>
      <c r="I101" s="28"/>
    </row>
    <row r="102" spans="2:9" ht="15.6" customHeight="1" x14ac:dyDescent="0.3">
      <c r="B102" s="69"/>
      <c r="C102" s="2">
        <v>10</v>
      </c>
      <c r="D102" s="82"/>
      <c r="E102" s="85"/>
      <c r="F102" s="91">
        <f t="shared" si="12"/>
        <v>0</v>
      </c>
      <c r="G102" s="84"/>
      <c r="H102" s="84"/>
      <c r="I102" s="28"/>
    </row>
    <row r="103" spans="2:9" s="26" customFormat="1" ht="15.6" customHeight="1" x14ac:dyDescent="0.3">
      <c r="B103" s="70"/>
      <c r="C103" s="42"/>
      <c r="D103" s="42" t="s">
        <v>0</v>
      </c>
      <c r="E103" s="52">
        <f>SUM(E93:E102)</f>
        <v>12000</v>
      </c>
      <c r="F103" s="54"/>
      <c r="G103" s="54"/>
      <c r="I103" s="38"/>
    </row>
    <row r="104" spans="2:9" s="3" customFormat="1" ht="17.45" customHeight="1" x14ac:dyDescent="0.3">
      <c r="B104" s="27"/>
      <c r="I104" s="28"/>
    </row>
    <row r="105" spans="2:9" x14ac:dyDescent="0.3">
      <c r="B105" s="68" t="s">
        <v>493</v>
      </c>
      <c r="C105" s="3"/>
      <c r="D105" s="4"/>
      <c r="E105" s="59"/>
      <c r="F105" s="59"/>
      <c r="G105" s="59"/>
      <c r="H105" s="54"/>
      <c r="I105" s="28"/>
    </row>
    <row r="106" spans="2:9" ht="37.15" customHeight="1" x14ac:dyDescent="0.3">
      <c r="B106" s="27"/>
      <c r="C106" s="80" t="s">
        <v>4</v>
      </c>
      <c r="D106" s="80" t="s">
        <v>55</v>
      </c>
      <c r="E106" s="58" t="s">
        <v>451</v>
      </c>
      <c r="F106" s="58" t="s">
        <v>475</v>
      </c>
      <c r="G106" s="59"/>
      <c r="H106" s="61"/>
      <c r="I106" s="28"/>
    </row>
    <row r="107" spans="2:9" ht="15.6" customHeight="1" x14ac:dyDescent="0.3">
      <c r="B107" s="27"/>
      <c r="C107" s="2">
        <v>1</v>
      </c>
      <c r="D107" s="83" t="s">
        <v>452</v>
      </c>
      <c r="E107" s="84"/>
      <c r="F107" s="91">
        <f>IF(E107/($H$60+$H$68)=0,0,E107/($H$60+$H$68))</f>
        <v>0</v>
      </c>
      <c r="G107" s="59"/>
      <c r="H107" s="61"/>
      <c r="I107" s="28"/>
    </row>
    <row r="108" spans="2:9" ht="15.6" customHeight="1" x14ac:dyDescent="0.3">
      <c r="B108" s="27"/>
      <c r="C108" s="2">
        <v>2</v>
      </c>
      <c r="D108" s="83" t="s">
        <v>453</v>
      </c>
      <c r="E108" s="84"/>
      <c r="F108" s="91">
        <f t="shared" ref="F108:F113" si="13">IF(E108/($H$60+$H$68)=0,0,E108/($H$60+$H$68))</f>
        <v>0</v>
      </c>
      <c r="G108" s="59"/>
      <c r="H108" s="61"/>
      <c r="I108" s="28"/>
    </row>
    <row r="109" spans="2:9" ht="15.6" customHeight="1" x14ac:dyDescent="0.3">
      <c r="B109" s="27"/>
      <c r="C109" s="2">
        <v>3</v>
      </c>
      <c r="D109" s="83" t="s">
        <v>454</v>
      </c>
      <c r="E109" s="85">
        <v>22.34</v>
      </c>
      <c r="F109" s="91">
        <f t="shared" si="13"/>
        <v>1.0844660194174757E-3</v>
      </c>
      <c r="G109" s="59"/>
      <c r="H109" s="61"/>
      <c r="I109" s="28"/>
    </row>
    <row r="110" spans="2:9" ht="15.6" customHeight="1" x14ac:dyDescent="0.3">
      <c r="B110" s="27"/>
      <c r="C110" s="2">
        <v>4</v>
      </c>
      <c r="D110" s="83" t="s">
        <v>455</v>
      </c>
      <c r="E110" s="85"/>
      <c r="F110" s="91">
        <f t="shared" si="13"/>
        <v>0</v>
      </c>
      <c r="G110" s="59"/>
      <c r="H110" s="61"/>
      <c r="I110" s="28"/>
    </row>
    <row r="111" spans="2:9" ht="15.6" customHeight="1" x14ac:dyDescent="0.3">
      <c r="B111" s="27"/>
      <c r="C111" s="2">
        <v>5</v>
      </c>
      <c r="D111" s="83" t="s">
        <v>456</v>
      </c>
      <c r="E111" s="85"/>
      <c r="F111" s="91">
        <f t="shared" si="13"/>
        <v>0</v>
      </c>
      <c r="G111" s="59"/>
      <c r="H111" s="61"/>
      <c r="I111" s="28"/>
    </row>
    <row r="112" spans="2:9" ht="15.6" customHeight="1" x14ac:dyDescent="0.3">
      <c r="B112" s="27"/>
      <c r="C112" s="2">
        <v>6</v>
      </c>
      <c r="D112" s="83" t="s">
        <v>457</v>
      </c>
      <c r="E112" s="85"/>
      <c r="F112" s="91">
        <f t="shared" si="13"/>
        <v>0</v>
      </c>
      <c r="G112" s="59"/>
      <c r="H112" s="61"/>
      <c r="I112" s="28"/>
    </row>
    <row r="113" spans="2:9" ht="15.6" customHeight="1" x14ac:dyDescent="0.3">
      <c r="B113" s="27"/>
      <c r="C113" s="2">
        <v>7</v>
      </c>
      <c r="D113" s="83" t="s">
        <v>458</v>
      </c>
      <c r="E113" s="85"/>
      <c r="F113" s="91">
        <f t="shared" si="13"/>
        <v>0</v>
      </c>
      <c r="G113" s="59"/>
      <c r="H113" s="61"/>
      <c r="I113" s="28"/>
    </row>
    <row r="114" spans="2:9" s="26" customFormat="1" ht="15.6" customHeight="1" x14ac:dyDescent="0.3">
      <c r="B114" s="29"/>
      <c r="C114" s="42"/>
      <c r="D114" s="42" t="s">
        <v>0</v>
      </c>
      <c r="E114" s="90">
        <f>SUM(E107:E113)</f>
        <v>22.34</v>
      </c>
      <c r="F114" s="62"/>
      <c r="G114" s="59"/>
      <c r="H114" s="62"/>
      <c r="I114" s="38"/>
    </row>
    <row r="115" spans="2:9" x14ac:dyDescent="0.3">
      <c r="B115" s="36"/>
      <c r="C115" s="40"/>
      <c r="D115" s="40"/>
      <c r="E115" s="40"/>
      <c r="F115" s="40"/>
      <c r="G115" s="40"/>
      <c r="H115" s="40"/>
      <c r="I115" s="41"/>
    </row>
    <row r="116" spans="2:9" ht="15" customHeight="1" x14ac:dyDescent="0.3"/>
  </sheetData>
  <sheetProtection selectLockedCells="1"/>
  <mergeCells count="66">
    <mergeCell ref="D23:E23"/>
    <mergeCell ref="D22:E22"/>
    <mergeCell ref="B2:I2"/>
    <mergeCell ref="B8:I8"/>
    <mergeCell ref="B18:I18"/>
    <mergeCell ref="C10:D10"/>
    <mergeCell ref="C16:D16"/>
    <mergeCell ref="C15:D15"/>
    <mergeCell ref="C14:D14"/>
    <mergeCell ref="C13:D13"/>
    <mergeCell ref="C12:D12"/>
    <mergeCell ref="C11:D11"/>
    <mergeCell ref="D21:E21"/>
    <mergeCell ref="B56:I56"/>
    <mergeCell ref="D53:E53"/>
    <mergeCell ref="D54:E54"/>
    <mergeCell ref="D41:E41"/>
    <mergeCell ref="C50:E50"/>
    <mergeCell ref="D47:E47"/>
    <mergeCell ref="D48:E48"/>
    <mergeCell ref="D49:E49"/>
    <mergeCell ref="C76:E76"/>
    <mergeCell ref="C72:E72"/>
    <mergeCell ref="D67:E67"/>
    <mergeCell ref="D68:E68"/>
    <mergeCell ref="D69:E69"/>
    <mergeCell ref="D70:E70"/>
    <mergeCell ref="C75:E75"/>
    <mergeCell ref="D79:E79"/>
    <mergeCell ref="D80:E80"/>
    <mergeCell ref="D81:E81"/>
    <mergeCell ref="D84:E84"/>
    <mergeCell ref="C89:E89"/>
    <mergeCell ref="D83:E83"/>
    <mergeCell ref="D82:E82"/>
    <mergeCell ref="D85:E85"/>
    <mergeCell ref="D86:E86"/>
    <mergeCell ref="D87:E87"/>
    <mergeCell ref="D88:E88"/>
    <mergeCell ref="D25:E25"/>
    <mergeCell ref="D24:E24"/>
    <mergeCell ref="D63:E63"/>
    <mergeCell ref="D71:E71"/>
    <mergeCell ref="C64:E64"/>
    <mergeCell ref="D59:E59"/>
    <mergeCell ref="D60:E60"/>
    <mergeCell ref="D61:E61"/>
    <mergeCell ref="D62:E62"/>
    <mergeCell ref="D36:E36"/>
    <mergeCell ref="D38:E38"/>
    <mergeCell ref="D39:E39"/>
    <mergeCell ref="D42:E42"/>
    <mergeCell ref="C26:E26"/>
    <mergeCell ref="D29:E29"/>
    <mergeCell ref="D37:E37"/>
    <mergeCell ref="D30:E30"/>
    <mergeCell ref="D31:E31"/>
    <mergeCell ref="D32:E32"/>
    <mergeCell ref="D33:E33"/>
    <mergeCell ref="D34:E34"/>
    <mergeCell ref="D35:E35"/>
    <mergeCell ref="D43:E43"/>
    <mergeCell ref="D44:E44"/>
    <mergeCell ref="D45:E45"/>
    <mergeCell ref="D46:E46"/>
    <mergeCell ref="D40:E40"/>
  </mergeCells>
  <dataValidations count="7">
    <dataValidation type="date" allowBlank="1" showErrorMessage="1" errorTitle="Período" error="Se debe consignar fecha en la siguiente forma: dd/mm/aaaa" sqref="E6" xr:uid="{00000000-0002-0000-0000-000000000000}">
      <formula1>44256</formula1>
      <formula2>45015</formula2>
    </dataValidation>
    <dataValidation type="whole" allowBlank="1" showErrorMessage="1" errorTitle="N° de socios" error="Debe consignar valor numérico." sqref="E11" xr:uid="{00000000-0002-0000-0000-000001000000}">
      <formula1>1</formula1>
      <formula2>100000000</formula2>
    </dataValidation>
    <dataValidation type="whole" operator="greaterThanOrEqual" allowBlank="1" showErrorMessage="1" errorTitle="N° de Agencia" error="Debe consignar valor numérico." sqref="E13:E14" xr:uid="{00000000-0002-0000-0000-000002000000}">
      <formula1>0</formula1>
    </dataValidation>
    <dataValidation type="decimal" allowBlank="1" showInputMessage="1" showErrorMessage="1" errorTitle="Valor nó numérico" error="Solo se permite valores numéricos en esta celda" sqref="F22:G25 F30:G49 F54:G54 F60:G63 E93:F102 F76:G76 F80:G88 F68:G71 E107:F113" xr:uid="{00000000-0002-0000-0000-000003000000}">
      <formula1>0</formula1>
      <formula2>1000000000000</formula2>
    </dataValidation>
    <dataValidation type="decimal" allowBlank="1" showErrorMessage="1" errorTitle="N° de socios" error="Debe consignar valor numérico." sqref="E12" xr:uid="{00000000-0002-0000-0000-000004000000}">
      <formula1>1</formula1>
      <formula2>100000000</formula2>
    </dataValidation>
    <dataValidation type="decimal" allowBlank="1" showInputMessage="1" showErrorMessage="1" sqref="H10" xr:uid="{00000000-0002-0000-0000-000005000000}">
      <formula1>0</formula1>
      <formula2>100000</formula2>
    </dataValidation>
    <dataValidation allowBlank="1" showInputMessage="1" showErrorMessage="1" errorTitle="Valor nó numérico" error="Solo se permite valores numéricos en esta celda" sqref="G93:H102" xr:uid="{00000000-0002-0000-0000-000006000000}"/>
  </dataValidations>
  <pageMargins left="0.70866141732283472" right="0.70866141732283472" top="0.74803149606299213" bottom="0.74803149606299213" header="0.31496062992125984" footer="0.31496062992125984"/>
  <pageSetup paperSize="9" scale="94" orientation="portrait" r:id="rId1"/>
  <extLst>
    <ext xmlns:x14="http://schemas.microsoft.com/office/spreadsheetml/2009/9/main" uri="{CCE6A557-97BC-4b89-ADB6-D9C93CAAB3DF}">
      <x14:dataValidations xmlns:xm="http://schemas.microsoft.com/office/excel/2006/main" count="2">
        <x14:dataValidation type="list" allowBlank="1" showErrorMessage="1" errorTitle="Código SBS" error="La entidad debe consignar Código COOPAC de cuatro dígitos. (Ejm.: 1101)" xr:uid="{00000000-0002-0000-0000-000007000000}">
          <x14:formula1>
            <xm:f>Hoja2!$B$2:$B$132</xm:f>
          </x14:formula1>
          <xm:sqref>E4</xm:sqref>
        </x14:dataValidation>
        <x14:dataValidation type="list" allowBlank="1" showInputMessage="1" showErrorMessage="1" xr:uid="{00000000-0002-0000-0000-000008000000}">
          <x14:formula1>
            <xm:f>Hoja2!$L$2:$L$3</xm:f>
          </x14:formula1>
          <xm:sqref>E15:E16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C5:Q6"/>
  <sheetViews>
    <sheetView topLeftCell="B1" workbookViewId="0">
      <selection activeCell="Q5" sqref="C5:Q5"/>
    </sheetView>
  </sheetViews>
  <sheetFormatPr baseColWidth="10" defaultRowHeight="15" x14ac:dyDescent="0.25"/>
  <cols>
    <col min="13" max="13" width="14.5703125" bestFit="1" customWidth="1"/>
  </cols>
  <sheetData>
    <row r="5" spans="3:17" ht="135" x14ac:dyDescent="0.25">
      <c r="C5" s="94" t="s">
        <v>505</v>
      </c>
      <c r="D5" s="94" t="s">
        <v>506</v>
      </c>
      <c r="E5" s="94" t="s">
        <v>507</v>
      </c>
      <c r="F5" s="94" t="s">
        <v>508</v>
      </c>
      <c r="G5" s="94" t="s">
        <v>509</v>
      </c>
      <c r="H5" s="94" t="s">
        <v>510</v>
      </c>
      <c r="I5" s="94" t="s">
        <v>511</v>
      </c>
      <c r="J5" s="94" t="s">
        <v>512</v>
      </c>
      <c r="K5" s="94" t="s">
        <v>513</v>
      </c>
      <c r="L5" s="94" t="s">
        <v>514</v>
      </c>
      <c r="M5" s="94" t="s">
        <v>515</v>
      </c>
      <c r="N5" s="94" t="s">
        <v>516</v>
      </c>
      <c r="O5" s="94" t="s">
        <v>517</v>
      </c>
      <c r="P5" s="94" t="s">
        <v>518</v>
      </c>
      <c r="Q5" s="94" t="s">
        <v>519</v>
      </c>
    </row>
    <row r="6" spans="3:17" ht="16.5" x14ac:dyDescent="0.25">
      <c r="C6" s="95">
        <f>Requerimiento!E11</f>
        <v>100</v>
      </c>
      <c r="D6" s="99">
        <f>Requerimiento!E12</f>
        <v>12000000</v>
      </c>
      <c r="E6" s="95">
        <f>Requerimiento!E13</f>
        <v>3</v>
      </c>
      <c r="F6" s="95">
        <f>Requerimiento!E14</f>
        <v>2</v>
      </c>
      <c r="G6" s="95" t="str">
        <f>Requerimiento!E15</f>
        <v>Si</v>
      </c>
      <c r="H6" s="95" t="str">
        <f>Requerimiento!E16</f>
        <v>Si</v>
      </c>
      <c r="I6" s="96">
        <f>Requerimiento!H26/Requerimiento!E12</f>
        <v>4.75E-4</v>
      </c>
      <c r="J6" s="99">
        <f>Requerimiento!H26-Requerimiento!H54</f>
        <v>3700</v>
      </c>
      <c r="K6" s="99">
        <f>Requerimiento!H60+Requerimiento!H68</f>
        <v>20600</v>
      </c>
      <c r="L6" s="97">
        <f>Requerimiento!H26/'Filas Global'!K6</f>
        <v>0.27669902912621358</v>
      </c>
      <c r="M6" s="99">
        <f>Requerimiento!H76</f>
        <v>12000</v>
      </c>
      <c r="N6" s="97">
        <f>Requerimiento!E103/'Filas Global'!K6</f>
        <v>0.58252427184466016</v>
      </c>
      <c r="O6" s="95"/>
      <c r="P6" s="95"/>
      <c r="Q6" s="95"/>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2:B17"/>
  <sheetViews>
    <sheetView showGridLines="0" zoomScale="80" zoomScaleNormal="80" workbookViewId="0">
      <selection activeCell="B26" sqref="B26"/>
    </sheetView>
  </sheetViews>
  <sheetFormatPr baseColWidth="10" defaultRowHeight="15" x14ac:dyDescent="0.25"/>
  <cols>
    <col min="1" max="1" width="1.42578125" customWidth="1"/>
  </cols>
  <sheetData>
    <row r="2" spans="2:2" ht="15.75" x14ac:dyDescent="0.25">
      <c r="B2" s="47" t="s">
        <v>468</v>
      </c>
    </row>
    <row r="3" spans="2:2" ht="15.75" x14ac:dyDescent="0.25">
      <c r="B3" s="76" t="s">
        <v>478</v>
      </c>
    </row>
    <row r="4" spans="2:2" ht="15.75" x14ac:dyDescent="0.25">
      <c r="B4" s="76" t="s">
        <v>479</v>
      </c>
    </row>
    <row r="5" spans="2:2" ht="15.75" x14ac:dyDescent="0.25">
      <c r="B5" s="76" t="s">
        <v>467</v>
      </c>
    </row>
    <row r="6" spans="2:2" ht="15.75" x14ac:dyDescent="0.25">
      <c r="B6" s="76" t="s">
        <v>469</v>
      </c>
    </row>
    <row r="7" spans="2:2" ht="15.75" x14ac:dyDescent="0.25">
      <c r="B7" s="78" t="s">
        <v>482</v>
      </c>
    </row>
    <row r="8" spans="2:2" ht="15.75" x14ac:dyDescent="0.25">
      <c r="B8" s="77" t="s">
        <v>483</v>
      </c>
    </row>
    <row r="9" spans="2:2" ht="15.75" x14ac:dyDescent="0.25">
      <c r="B9" s="77" t="s">
        <v>484</v>
      </c>
    </row>
    <row r="10" spans="2:2" ht="15.75" x14ac:dyDescent="0.25">
      <c r="B10" s="76" t="s">
        <v>480</v>
      </c>
    </row>
    <row r="11" spans="2:2" ht="15.75" x14ac:dyDescent="0.25">
      <c r="B11" s="76" t="s">
        <v>481</v>
      </c>
    </row>
    <row r="12" spans="2:2" ht="15.75" x14ac:dyDescent="0.25">
      <c r="B12" s="76" t="s">
        <v>485</v>
      </c>
    </row>
    <row r="13" spans="2:2" ht="15.75" x14ac:dyDescent="0.25">
      <c r="B13" s="76" t="s">
        <v>486</v>
      </c>
    </row>
    <row r="14" spans="2:2" ht="15.75" x14ac:dyDescent="0.25">
      <c r="B14" s="76" t="s">
        <v>494</v>
      </c>
    </row>
    <row r="15" spans="2:2" ht="15.75" x14ac:dyDescent="0.25">
      <c r="B15" s="76" t="s">
        <v>495</v>
      </c>
    </row>
    <row r="16" spans="2:2" ht="15.75" x14ac:dyDescent="0.25">
      <c r="B16" s="76" t="s">
        <v>497</v>
      </c>
    </row>
    <row r="17" spans="2:2" ht="15.75" x14ac:dyDescent="0.25">
      <c r="B17" s="79" t="s">
        <v>487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N132"/>
  <sheetViews>
    <sheetView workbookViewId="0">
      <selection activeCell="N2" sqref="N2"/>
    </sheetView>
  </sheetViews>
  <sheetFormatPr baseColWidth="10" defaultRowHeight="15" x14ac:dyDescent="0.25"/>
  <cols>
    <col min="3" max="3" width="15.140625" customWidth="1"/>
    <col min="4" max="4" width="25.85546875" customWidth="1"/>
    <col min="13" max="13" width="16.7109375" bestFit="1" customWidth="1"/>
  </cols>
  <sheetData>
    <row r="1" spans="1:14" x14ac:dyDescent="0.25">
      <c r="A1" t="s">
        <v>57</v>
      </c>
      <c r="B1" t="s">
        <v>58</v>
      </c>
      <c r="C1" t="s">
        <v>59</v>
      </c>
      <c r="D1" t="s">
        <v>60</v>
      </c>
      <c r="E1" t="s">
        <v>61</v>
      </c>
      <c r="F1" t="s">
        <v>62</v>
      </c>
      <c r="G1" t="s">
        <v>63</v>
      </c>
      <c r="H1" t="s">
        <v>64</v>
      </c>
      <c r="I1" t="s">
        <v>65</v>
      </c>
      <c r="L1" t="s">
        <v>32</v>
      </c>
      <c r="M1" t="s">
        <v>476</v>
      </c>
      <c r="N1" t="s">
        <v>496</v>
      </c>
    </row>
    <row r="2" spans="1:14" ht="16.5" x14ac:dyDescent="0.3">
      <c r="A2">
        <v>1</v>
      </c>
      <c r="B2" s="22">
        <v>1101</v>
      </c>
      <c r="C2" t="s">
        <v>66</v>
      </c>
      <c r="D2" t="s">
        <v>67</v>
      </c>
      <c r="E2">
        <v>20534361298</v>
      </c>
      <c r="F2" t="s">
        <v>68</v>
      </c>
      <c r="G2" t="s">
        <v>69</v>
      </c>
      <c r="H2" t="s">
        <v>68</v>
      </c>
      <c r="I2" t="s">
        <v>70</v>
      </c>
      <c r="L2" s="24" t="s">
        <v>42</v>
      </c>
      <c r="M2" t="s">
        <v>488</v>
      </c>
      <c r="N2" s="43" t="s">
        <v>452</v>
      </c>
    </row>
    <row r="3" spans="1:14" ht="16.5" x14ac:dyDescent="0.3">
      <c r="A3">
        <v>2</v>
      </c>
      <c r="B3" s="22">
        <v>1104</v>
      </c>
      <c r="C3" t="s">
        <v>71</v>
      </c>
      <c r="D3" t="s">
        <v>72</v>
      </c>
      <c r="E3">
        <v>20493867963</v>
      </c>
      <c r="F3" t="s">
        <v>73</v>
      </c>
      <c r="G3" t="s">
        <v>73</v>
      </c>
      <c r="H3" t="s">
        <v>74</v>
      </c>
      <c r="I3" t="s">
        <v>75</v>
      </c>
      <c r="L3" s="24" t="s">
        <v>41</v>
      </c>
      <c r="M3" t="s">
        <v>489</v>
      </c>
      <c r="N3" s="43" t="s">
        <v>453</v>
      </c>
    </row>
    <row r="4" spans="1:14" ht="16.5" x14ac:dyDescent="0.3">
      <c r="A4">
        <v>3</v>
      </c>
      <c r="B4" s="22">
        <v>1107</v>
      </c>
      <c r="C4" t="s">
        <v>76</v>
      </c>
      <c r="D4" t="s">
        <v>77</v>
      </c>
      <c r="E4">
        <v>20547247052</v>
      </c>
      <c r="F4" t="s">
        <v>78</v>
      </c>
      <c r="G4" t="s">
        <v>78</v>
      </c>
      <c r="H4" t="s">
        <v>79</v>
      </c>
      <c r="I4" t="s">
        <v>80</v>
      </c>
      <c r="M4" t="s">
        <v>490</v>
      </c>
      <c r="N4" s="43" t="s">
        <v>454</v>
      </c>
    </row>
    <row r="5" spans="1:14" ht="16.5" x14ac:dyDescent="0.3">
      <c r="A5">
        <v>4</v>
      </c>
      <c r="B5" s="22">
        <v>1108</v>
      </c>
      <c r="C5" t="s">
        <v>81</v>
      </c>
      <c r="D5" t="s">
        <v>82</v>
      </c>
      <c r="E5">
        <v>20156005194</v>
      </c>
      <c r="F5" t="s">
        <v>83</v>
      </c>
      <c r="G5" t="s">
        <v>84</v>
      </c>
      <c r="H5" t="s">
        <v>84</v>
      </c>
      <c r="I5" t="s">
        <v>85</v>
      </c>
      <c r="M5" t="s">
        <v>491</v>
      </c>
      <c r="N5" s="43" t="s">
        <v>455</v>
      </c>
    </row>
    <row r="6" spans="1:14" ht="16.5" x14ac:dyDescent="0.3">
      <c r="A6">
        <v>5</v>
      </c>
      <c r="B6" s="22">
        <v>1114</v>
      </c>
      <c r="C6" t="s">
        <v>86</v>
      </c>
      <c r="D6" t="s">
        <v>87</v>
      </c>
      <c r="E6">
        <v>20142750962</v>
      </c>
      <c r="F6" t="s">
        <v>83</v>
      </c>
      <c r="G6" t="s">
        <v>88</v>
      </c>
      <c r="H6" t="s">
        <v>89</v>
      </c>
      <c r="I6" t="s">
        <v>90</v>
      </c>
      <c r="M6" t="s">
        <v>492</v>
      </c>
      <c r="N6" s="43" t="s">
        <v>456</v>
      </c>
    </row>
    <row r="7" spans="1:14" ht="16.5" x14ac:dyDescent="0.3">
      <c r="A7">
        <v>6</v>
      </c>
      <c r="B7" s="22">
        <v>1115</v>
      </c>
      <c r="C7" t="s">
        <v>91</v>
      </c>
      <c r="D7" t="s">
        <v>92</v>
      </c>
      <c r="E7">
        <v>20146793836</v>
      </c>
      <c r="F7" t="s">
        <v>93</v>
      </c>
      <c r="G7" t="s">
        <v>93</v>
      </c>
      <c r="H7" t="s">
        <v>93</v>
      </c>
      <c r="I7" t="s">
        <v>80</v>
      </c>
      <c r="N7" s="43" t="s">
        <v>457</v>
      </c>
    </row>
    <row r="8" spans="1:14" ht="16.5" x14ac:dyDescent="0.3">
      <c r="A8">
        <v>7</v>
      </c>
      <c r="B8" s="22">
        <v>1117</v>
      </c>
      <c r="C8" t="s">
        <v>94</v>
      </c>
      <c r="D8" t="s">
        <v>95</v>
      </c>
      <c r="E8">
        <v>20147965924</v>
      </c>
      <c r="F8" t="s">
        <v>78</v>
      </c>
      <c r="G8" t="s">
        <v>78</v>
      </c>
      <c r="H8" t="s">
        <v>96</v>
      </c>
      <c r="I8" t="s">
        <v>97</v>
      </c>
      <c r="N8" s="43" t="s">
        <v>458</v>
      </c>
    </row>
    <row r="9" spans="1:14" x14ac:dyDescent="0.25">
      <c r="A9">
        <v>8</v>
      </c>
      <c r="B9" s="22">
        <v>1121</v>
      </c>
      <c r="C9" t="s">
        <v>98</v>
      </c>
      <c r="D9" t="s">
        <v>99</v>
      </c>
      <c r="E9">
        <v>20600664191</v>
      </c>
      <c r="F9" t="s">
        <v>100</v>
      </c>
      <c r="G9" t="s">
        <v>100</v>
      </c>
      <c r="H9" t="s">
        <v>101</v>
      </c>
      <c r="I9" t="s">
        <v>102</v>
      </c>
    </row>
    <row r="10" spans="1:14" x14ac:dyDescent="0.25">
      <c r="A10">
        <v>9</v>
      </c>
      <c r="B10" s="22">
        <v>1122</v>
      </c>
      <c r="C10" t="s">
        <v>103</v>
      </c>
      <c r="D10" t="s">
        <v>104</v>
      </c>
      <c r="E10">
        <v>20527533687</v>
      </c>
      <c r="F10" t="s">
        <v>105</v>
      </c>
      <c r="G10" t="s">
        <v>105</v>
      </c>
      <c r="H10" t="s">
        <v>106</v>
      </c>
      <c r="I10" t="s">
        <v>85</v>
      </c>
    </row>
    <row r="11" spans="1:14" x14ac:dyDescent="0.25">
      <c r="A11">
        <v>10</v>
      </c>
      <c r="B11" s="22">
        <v>1124</v>
      </c>
      <c r="C11" t="s">
        <v>107</v>
      </c>
      <c r="D11" t="s">
        <v>108</v>
      </c>
      <c r="E11">
        <v>20553180695</v>
      </c>
      <c r="F11" t="s">
        <v>78</v>
      </c>
      <c r="G11" t="s">
        <v>78</v>
      </c>
      <c r="H11" t="s">
        <v>109</v>
      </c>
      <c r="I11" t="s">
        <v>85</v>
      </c>
    </row>
    <row r="12" spans="1:14" x14ac:dyDescent="0.25">
      <c r="A12">
        <v>11</v>
      </c>
      <c r="B12" s="22">
        <v>1125</v>
      </c>
      <c r="C12" t="s">
        <v>110</v>
      </c>
      <c r="D12" t="s">
        <v>111</v>
      </c>
      <c r="E12">
        <v>20153082147</v>
      </c>
      <c r="F12" t="s">
        <v>78</v>
      </c>
      <c r="G12" t="s">
        <v>78</v>
      </c>
      <c r="H12" t="s">
        <v>109</v>
      </c>
      <c r="I12" t="s">
        <v>112</v>
      </c>
    </row>
    <row r="13" spans="1:14" x14ac:dyDescent="0.25">
      <c r="A13">
        <v>12</v>
      </c>
      <c r="B13" s="22">
        <v>1127</v>
      </c>
      <c r="C13" t="s">
        <v>113</v>
      </c>
      <c r="D13" t="s">
        <v>114</v>
      </c>
      <c r="E13">
        <v>20148349747</v>
      </c>
      <c r="F13" t="s">
        <v>115</v>
      </c>
      <c r="G13" t="s">
        <v>116</v>
      </c>
      <c r="H13" t="s">
        <v>117</v>
      </c>
      <c r="I13" t="s">
        <v>80</v>
      </c>
    </row>
    <row r="14" spans="1:14" x14ac:dyDescent="0.25">
      <c r="A14">
        <v>13</v>
      </c>
      <c r="B14" s="22">
        <v>1128</v>
      </c>
      <c r="C14" t="s">
        <v>118</v>
      </c>
      <c r="D14" t="s">
        <v>119</v>
      </c>
      <c r="E14">
        <v>20251543390</v>
      </c>
      <c r="F14" t="s">
        <v>78</v>
      </c>
      <c r="G14" t="s">
        <v>78</v>
      </c>
      <c r="H14" t="s">
        <v>120</v>
      </c>
      <c r="I14" t="s">
        <v>75</v>
      </c>
    </row>
    <row r="15" spans="1:14" x14ac:dyDescent="0.25">
      <c r="A15">
        <v>14</v>
      </c>
      <c r="B15" s="22">
        <v>1129</v>
      </c>
      <c r="C15" t="s">
        <v>121</v>
      </c>
      <c r="D15" t="s">
        <v>122</v>
      </c>
      <c r="E15">
        <v>20602358373</v>
      </c>
      <c r="F15" t="s">
        <v>100</v>
      </c>
      <c r="G15" t="s">
        <v>100</v>
      </c>
      <c r="H15" t="s">
        <v>100</v>
      </c>
      <c r="I15" t="s">
        <v>102</v>
      </c>
    </row>
    <row r="16" spans="1:14" x14ac:dyDescent="0.25">
      <c r="A16">
        <v>15</v>
      </c>
      <c r="B16" s="22">
        <v>1130</v>
      </c>
      <c r="C16" t="s">
        <v>123</v>
      </c>
      <c r="D16" t="s">
        <v>124</v>
      </c>
      <c r="E16">
        <v>20487861465</v>
      </c>
      <c r="F16" t="s">
        <v>125</v>
      </c>
      <c r="G16" t="s">
        <v>126</v>
      </c>
      <c r="H16" t="s">
        <v>126</v>
      </c>
      <c r="I16" t="s">
        <v>90</v>
      </c>
    </row>
    <row r="17" spans="1:9" x14ac:dyDescent="0.25">
      <c r="A17">
        <v>16</v>
      </c>
      <c r="B17" s="22">
        <v>1131</v>
      </c>
      <c r="C17" t="s">
        <v>127</v>
      </c>
      <c r="D17" t="s">
        <v>128</v>
      </c>
      <c r="E17">
        <v>20479102776</v>
      </c>
      <c r="F17" t="s">
        <v>78</v>
      </c>
      <c r="G17" t="s">
        <v>78</v>
      </c>
      <c r="H17" t="s">
        <v>129</v>
      </c>
      <c r="I17" t="s">
        <v>90</v>
      </c>
    </row>
    <row r="18" spans="1:9" x14ac:dyDescent="0.25">
      <c r="A18">
        <v>17</v>
      </c>
      <c r="B18" s="22">
        <v>1132</v>
      </c>
      <c r="C18" t="s">
        <v>130</v>
      </c>
      <c r="D18" t="s">
        <v>131</v>
      </c>
      <c r="E18">
        <v>20545550246</v>
      </c>
      <c r="F18" t="s">
        <v>78</v>
      </c>
      <c r="G18" t="s">
        <v>78</v>
      </c>
      <c r="H18" t="s">
        <v>132</v>
      </c>
      <c r="I18" t="s">
        <v>85</v>
      </c>
    </row>
    <row r="19" spans="1:9" x14ac:dyDescent="0.25">
      <c r="A19">
        <v>18</v>
      </c>
      <c r="B19" s="22">
        <v>1133</v>
      </c>
      <c r="C19" t="s">
        <v>133</v>
      </c>
      <c r="D19" t="s">
        <v>134</v>
      </c>
      <c r="E19">
        <v>20480590075</v>
      </c>
      <c r="F19" t="s">
        <v>93</v>
      </c>
      <c r="G19" t="s">
        <v>135</v>
      </c>
      <c r="H19" t="s">
        <v>135</v>
      </c>
      <c r="I19" t="s">
        <v>75</v>
      </c>
    </row>
    <row r="20" spans="1:9" x14ac:dyDescent="0.25">
      <c r="A20">
        <v>19</v>
      </c>
      <c r="B20" s="22">
        <v>1137</v>
      </c>
      <c r="C20" t="s">
        <v>136</v>
      </c>
      <c r="D20" t="s">
        <v>137</v>
      </c>
      <c r="E20">
        <v>20101251544</v>
      </c>
      <c r="F20" t="s">
        <v>78</v>
      </c>
      <c r="G20" t="s">
        <v>78</v>
      </c>
      <c r="H20" t="s">
        <v>138</v>
      </c>
      <c r="I20" t="s">
        <v>85</v>
      </c>
    </row>
    <row r="21" spans="1:9" x14ac:dyDescent="0.25">
      <c r="A21">
        <v>20</v>
      </c>
      <c r="B21" s="22">
        <v>1139</v>
      </c>
      <c r="C21" t="s">
        <v>139</v>
      </c>
      <c r="D21" t="s">
        <v>140</v>
      </c>
      <c r="E21">
        <v>20148242942</v>
      </c>
      <c r="F21" t="s">
        <v>93</v>
      </c>
      <c r="G21" t="s">
        <v>141</v>
      </c>
      <c r="H21" t="s">
        <v>141</v>
      </c>
      <c r="I21" t="s">
        <v>142</v>
      </c>
    </row>
    <row r="22" spans="1:9" x14ac:dyDescent="0.25">
      <c r="A22">
        <v>21</v>
      </c>
      <c r="B22" s="22">
        <v>1141</v>
      </c>
      <c r="C22" t="s">
        <v>143</v>
      </c>
      <c r="D22" t="s">
        <v>144</v>
      </c>
      <c r="E22">
        <v>20601164931</v>
      </c>
      <c r="F22" t="s">
        <v>145</v>
      </c>
      <c r="G22" t="s">
        <v>145</v>
      </c>
      <c r="H22" t="s">
        <v>145</v>
      </c>
      <c r="I22" t="s">
        <v>112</v>
      </c>
    </row>
    <row r="23" spans="1:9" x14ac:dyDescent="0.25">
      <c r="A23">
        <v>22</v>
      </c>
      <c r="B23" s="22">
        <v>1142</v>
      </c>
      <c r="C23" t="s">
        <v>146</v>
      </c>
      <c r="D23" t="s">
        <v>147</v>
      </c>
      <c r="E23">
        <v>20506019860</v>
      </c>
      <c r="F23" t="s">
        <v>78</v>
      </c>
      <c r="G23" t="s">
        <v>148</v>
      </c>
      <c r="H23" t="s">
        <v>148</v>
      </c>
      <c r="I23" t="s">
        <v>70</v>
      </c>
    </row>
    <row r="24" spans="1:9" x14ac:dyDescent="0.25">
      <c r="A24">
        <v>23</v>
      </c>
      <c r="B24" s="22">
        <v>1144</v>
      </c>
      <c r="C24" t="s">
        <v>149</v>
      </c>
      <c r="D24" t="s">
        <v>150</v>
      </c>
      <c r="E24">
        <v>20140898024</v>
      </c>
      <c r="F24" t="s">
        <v>78</v>
      </c>
      <c r="G24" t="s">
        <v>78</v>
      </c>
      <c r="H24" t="s">
        <v>151</v>
      </c>
      <c r="I24" t="s">
        <v>112</v>
      </c>
    </row>
    <row r="25" spans="1:9" x14ac:dyDescent="0.25">
      <c r="A25">
        <v>24</v>
      </c>
      <c r="B25" s="22">
        <v>1146</v>
      </c>
      <c r="C25" t="s">
        <v>152</v>
      </c>
      <c r="D25" t="s">
        <v>153</v>
      </c>
      <c r="E25">
        <v>20601221846</v>
      </c>
      <c r="F25" t="s">
        <v>73</v>
      </c>
      <c r="G25" t="s">
        <v>73</v>
      </c>
      <c r="H25" t="s">
        <v>74</v>
      </c>
      <c r="I25" t="s">
        <v>102</v>
      </c>
    </row>
    <row r="26" spans="1:9" x14ac:dyDescent="0.25">
      <c r="A26">
        <v>25</v>
      </c>
      <c r="B26" s="22">
        <v>1147</v>
      </c>
      <c r="C26" t="s">
        <v>154</v>
      </c>
      <c r="D26" t="s">
        <v>155</v>
      </c>
      <c r="E26">
        <v>20139727968</v>
      </c>
      <c r="F26" t="s">
        <v>78</v>
      </c>
      <c r="G26" t="s">
        <v>78</v>
      </c>
      <c r="H26" t="s">
        <v>78</v>
      </c>
      <c r="I26" t="s">
        <v>97</v>
      </c>
    </row>
    <row r="27" spans="1:9" x14ac:dyDescent="0.25">
      <c r="A27">
        <v>26</v>
      </c>
      <c r="B27" s="22">
        <v>1149</v>
      </c>
      <c r="C27" t="s">
        <v>156</v>
      </c>
      <c r="D27" t="s">
        <v>157</v>
      </c>
      <c r="E27">
        <v>20101255965</v>
      </c>
      <c r="F27" t="s">
        <v>78</v>
      </c>
      <c r="G27" t="s">
        <v>78</v>
      </c>
      <c r="H27" t="s">
        <v>96</v>
      </c>
      <c r="I27" t="s">
        <v>85</v>
      </c>
    </row>
    <row r="28" spans="1:9" x14ac:dyDescent="0.25">
      <c r="A28">
        <v>27</v>
      </c>
      <c r="B28" s="22">
        <v>1151</v>
      </c>
      <c r="C28" t="s">
        <v>158</v>
      </c>
      <c r="D28" t="s">
        <v>159</v>
      </c>
      <c r="E28">
        <v>20600279484</v>
      </c>
      <c r="F28" t="s">
        <v>100</v>
      </c>
      <c r="G28" t="s">
        <v>100</v>
      </c>
      <c r="H28" t="s">
        <v>160</v>
      </c>
      <c r="I28" t="s">
        <v>70</v>
      </c>
    </row>
    <row r="29" spans="1:9" x14ac:dyDescent="0.25">
      <c r="A29">
        <v>28</v>
      </c>
      <c r="B29" s="22">
        <v>1154</v>
      </c>
      <c r="C29" t="s">
        <v>161</v>
      </c>
      <c r="D29" t="s">
        <v>162</v>
      </c>
      <c r="E29">
        <v>20564093867</v>
      </c>
      <c r="F29" t="s">
        <v>163</v>
      </c>
      <c r="G29" t="s">
        <v>164</v>
      </c>
      <c r="H29" t="s">
        <v>165</v>
      </c>
      <c r="I29" t="s">
        <v>75</v>
      </c>
    </row>
    <row r="30" spans="1:9" x14ac:dyDescent="0.25">
      <c r="A30">
        <v>29</v>
      </c>
      <c r="B30" s="22">
        <v>1155</v>
      </c>
      <c r="C30" t="s">
        <v>166</v>
      </c>
      <c r="D30" t="s">
        <v>167</v>
      </c>
      <c r="E30">
        <v>20429057711</v>
      </c>
      <c r="F30" t="s">
        <v>78</v>
      </c>
      <c r="G30" t="s">
        <v>78</v>
      </c>
      <c r="H30" t="s">
        <v>96</v>
      </c>
      <c r="I30" t="s">
        <v>70</v>
      </c>
    </row>
    <row r="31" spans="1:9" x14ac:dyDescent="0.25">
      <c r="A31">
        <v>30</v>
      </c>
      <c r="B31" s="22">
        <v>1159</v>
      </c>
      <c r="C31" t="s">
        <v>168</v>
      </c>
      <c r="D31" t="s">
        <v>169</v>
      </c>
      <c r="E31">
        <v>20215887929</v>
      </c>
      <c r="F31" t="s">
        <v>78</v>
      </c>
      <c r="G31" t="s">
        <v>78</v>
      </c>
      <c r="H31" t="s">
        <v>78</v>
      </c>
      <c r="I31" t="s">
        <v>112</v>
      </c>
    </row>
    <row r="32" spans="1:9" x14ac:dyDescent="0.25">
      <c r="A32">
        <v>31</v>
      </c>
      <c r="B32" s="22">
        <v>1160</v>
      </c>
      <c r="C32" t="s">
        <v>170</v>
      </c>
      <c r="D32" t="s">
        <v>171</v>
      </c>
      <c r="E32">
        <v>20126140801</v>
      </c>
      <c r="F32" t="s">
        <v>78</v>
      </c>
      <c r="G32" t="s">
        <v>78</v>
      </c>
      <c r="H32" t="s">
        <v>78</v>
      </c>
      <c r="I32" t="s">
        <v>75</v>
      </c>
    </row>
    <row r="33" spans="1:9" x14ac:dyDescent="0.25">
      <c r="A33">
        <v>32</v>
      </c>
      <c r="B33" s="22">
        <v>1166</v>
      </c>
      <c r="C33" t="s">
        <v>172</v>
      </c>
      <c r="D33" t="s">
        <v>173</v>
      </c>
      <c r="E33">
        <v>20603874014</v>
      </c>
      <c r="F33" t="s">
        <v>174</v>
      </c>
      <c r="G33" t="s">
        <v>175</v>
      </c>
      <c r="H33" t="s">
        <v>176</v>
      </c>
      <c r="I33" t="s">
        <v>142</v>
      </c>
    </row>
    <row r="34" spans="1:9" x14ac:dyDescent="0.25">
      <c r="A34">
        <v>33</v>
      </c>
      <c r="B34" s="22">
        <v>1167</v>
      </c>
      <c r="C34" t="s">
        <v>177</v>
      </c>
      <c r="D34" t="s">
        <v>178</v>
      </c>
      <c r="E34">
        <v>20448189067</v>
      </c>
      <c r="F34" t="s">
        <v>174</v>
      </c>
      <c r="G34" t="s">
        <v>175</v>
      </c>
      <c r="H34" t="s">
        <v>176</v>
      </c>
      <c r="I34" t="s">
        <v>75</v>
      </c>
    </row>
    <row r="35" spans="1:9" x14ac:dyDescent="0.25">
      <c r="A35">
        <v>34</v>
      </c>
      <c r="B35" s="22">
        <v>1170</v>
      </c>
      <c r="C35" t="s">
        <v>179</v>
      </c>
      <c r="D35" t="s">
        <v>180</v>
      </c>
      <c r="E35">
        <v>20129387301</v>
      </c>
      <c r="F35" t="s">
        <v>181</v>
      </c>
      <c r="G35" t="s">
        <v>181</v>
      </c>
      <c r="H35" t="s">
        <v>181</v>
      </c>
      <c r="I35" t="s">
        <v>80</v>
      </c>
    </row>
    <row r="36" spans="1:9" x14ac:dyDescent="0.25">
      <c r="A36">
        <v>35</v>
      </c>
      <c r="B36" s="22">
        <v>1171</v>
      </c>
      <c r="C36" t="s">
        <v>182</v>
      </c>
      <c r="D36" t="s">
        <v>183</v>
      </c>
      <c r="E36">
        <v>20602167624</v>
      </c>
      <c r="F36" t="s">
        <v>78</v>
      </c>
      <c r="G36" t="s">
        <v>78</v>
      </c>
      <c r="H36" t="s">
        <v>132</v>
      </c>
      <c r="I36" t="s">
        <v>97</v>
      </c>
    </row>
    <row r="37" spans="1:9" x14ac:dyDescent="0.25">
      <c r="A37">
        <v>36</v>
      </c>
      <c r="B37" s="22">
        <v>1173</v>
      </c>
      <c r="C37" t="s">
        <v>184</v>
      </c>
      <c r="D37" t="s">
        <v>185</v>
      </c>
      <c r="E37">
        <v>20100452236</v>
      </c>
      <c r="F37" t="s">
        <v>78</v>
      </c>
      <c r="G37" t="s">
        <v>78</v>
      </c>
      <c r="H37" t="s">
        <v>78</v>
      </c>
      <c r="I37" t="s">
        <v>90</v>
      </c>
    </row>
    <row r="38" spans="1:9" x14ac:dyDescent="0.25">
      <c r="A38">
        <v>37</v>
      </c>
      <c r="B38" s="22">
        <v>1175</v>
      </c>
      <c r="C38" t="s">
        <v>186</v>
      </c>
      <c r="D38" t="s">
        <v>187</v>
      </c>
      <c r="E38">
        <v>20539688996</v>
      </c>
      <c r="F38" t="s">
        <v>100</v>
      </c>
      <c r="G38" t="s">
        <v>100</v>
      </c>
      <c r="H38" t="s">
        <v>100</v>
      </c>
      <c r="I38" t="s">
        <v>85</v>
      </c>
    </row>
    <row r="39" spans="1:9" x14ac:dyDescent="0.25">
      <c r="A39">
        <v>38</v>
      </c>
      <c r="B39" s="22">
        <v>1176</v>
      </c>
      <c r="C39" t="s">
        <v>188</v>
      </c>
      <c r="D39" t="s">
        <v>189</v>
      </c>
      <c r="E39">
        <v>20100452406</v>
      </c>
      <c r="F39" t="s">
        <v>78</v>
      </c>
      <c r="G39" t="s">
        <v>78</v>
      </c>
      <c r="H39" t="s">
        <v>129</v>
      </c>
      <c r="I39" t="s">
        <v>142</v>
      </c>
    </row>
    <row r="40" spans="1:9" x14ac:dyDescent="0.25">
      <c r="A40">
        <v>39</v>
      </c>
      <c r="B40" s="22">
        <v>1177</v>
      </c>
      <c r="C40" t="s">
        <v>190</v>
      </c>
      <c r="D40" t="s">
        <v>191</v>
      </c>
      <c r="E40">
        <v>20100386349</v>
      </c>
      <c r="F40" t="s">
        <v>192</v>
      </c>
      <c r="G40" t="s">
        <v>193</v>
      </c>
      <c r="H40" t="s">
        <v>192</v>
      </c>
      <c r="I40" t="s">
        <v>97</v>
      </c>
    </row>
    <row r="41" spans="1:9" x14ac:dyDescent="0.25">
      <c r="A41">
        <v>40</v>
      </c>
      <c r="B41" s="22">
        <v>1178</v>
      </c>
      <c r="C41" t="s">
        <v>194</v>
      </c>
      <c r="D41" t="s">
        <v>195</v>
      </c>
      <c r="E41">
        <v>20102451768</v>
      </c>
      <c r="F41" t="s">
        <v>145</v>
      </c>
      <c r="G41" t="s">
        <v>196</v>
      </c>
      <c r="H41" t="s">
        <v>197</v>
      </c>
      <c r="I41" t="s">
        <v>80</v>
      </c>
    </row>
    <row r="42" spans="1:9" x14ac:dyDescent="0.25">
      <c r="A42">
        <v>41</v>
      </c>
      <c r="B42" s="22">
        <v>1179</v>
      </c>
      <c r="C42" t="s">
        <v>198</v>
      </c>
      <c r="D42" t="s">
        <v>199</v>
      </c>
      <c r="E42">
        <v>20138732836</v>
      </c>
      <c r="F42" t="s">
        <v>192</v>
      </c>
      <c r="G42" t="s">
        <v>193</v>
      </c>
      <c r="H42" t="s">
        <v>192</v>
      </c>
      <c r="I42" t="s">
        <v>70</v>
      </c>
    </row>
    <row r="43" spans="1:9" x14ac:dyDescent="0.25">
      <c r="A43">
        <v>42</v>
      </c>
      <c r="B43" s="22">
        <v>1182</v>
      </c>
      <c r="C43" t="s">
        <v>200</v>
      </c>
      <c r="D43" t="s">
        <v>201</v>
      </c>
      <c r="E43">
        <v>20101270417</v>
      </c>
      <c r="F43" t="s">
        <v>78</v>
      </c>
      <c r="G43" t="s">
        <v>78</v>
      </c>
      <c r="H43" t="s">
        <v>96</v>
      </c>
      <c r="I43" t="s">
        <v>80</v>
      </c>
    </row>
    <row r="44" spans="1:9" x14ac:dyDescent="0.25">
      <c r="A44">
        <v>43</v>
      </c>
      <c r="B44" s="22">
        <v>1185</v>
      </c>
      <c r="C44" t="s">
        <v>202</v>
      </c>
      <c r="D44" t="s">
        <v>203</v>
      </c>
      <c r="E44">
        <v>20486065398</v>
      </c>
      <c r="F44" t="s">
        <v>204</v>
      </c>
      <c r="G44" t="s">
        <v>205</v>
      </c>
      <c r="H44" t="s">
        <v>205</v>
      </c>
      <c r="I44" t="s">
        <v>75</v>
      </c>
    </row>
    <row r="45" spans="1:9" x14ac:dyDescent="0.25">
      <c r="A45">
        <v>44</v>
      </c>
      <c r="B45" s="22">
        <v>1190</v>
      </c>
      <c r="C45" t="s">
        <v>206</v>
      </c>
      <c r="D45" t="s">
        <v>207</v>
      </c>
      <c r="E45">
        <v>20148062537</v>
      </c>
      <c r="F45" t="s">
        <v>78</v>
      </c>
      <c r="G45" t="s">
        <v>78</v>
      </c>
      <c r="H45" t="s">
        <v>208</v>
      </c>
      <c r="I45" t="s">
        <v>80</v>
      </c>
    </row>
    <row r="46" spans="1:9" x14ac:dyDescent="0.25">
      <c r="A46">
        <v>45</v>
      </c>
      <c r="B46" s="22">
        <v>1192</v>
      </c>
      <c r="C46" t="s">
        <v>209</v>
      </c>
      <c r="D46" t="s">
        <v>210</v>
      </c>
      <c r="E46">
        <v>20141627555</v>
      </c>
      <c r="F46" t="s">
        <v>83</v>
      </c>
      <c r="G46" t="s">
        <v>211</v>
      </c>
      <c r="H46" t="s">
        <v>212</v>
      </c>
      <c r="I46" t="s">
        <v>142</v>
      </c>
    </row>
    <row r="47" spans="1:9" x14ac:dyDescent="0.25">
      <c r="A47">
        <v>46</v>
      </c>
      <c r="B47" s="22">
        <v>1194</v>
      </c>
      <c r="C47" t="s">
        <v>213</v>
      </c>
      <c r="D47" t="s">
        <v>214</v>
      </c>
      <c r="E47">
        <v>20543968219</v>
      </c>
      <c r="F47" t="s">
        <v>78</v>
      </c>
      <c r="G47" t="s">
        <v>78</v>
      </c>
      <c r="H47" t="s">
        <v>132</v>
      </c>
      <c r="I47" t="s">
        <v>112</v>
      </c>
    </row>
    <row r="48" spans="1:9" x14ac:dyDescent="0.25">
      <c r="A48">
        <v>47</v>
      </c>
      <c r="B48" s="22">
        <v>1195</v>
      </c>
      <c r="C48" t="s">
        <v>215</v>
      </c>
      <c r="D48" t="s">
        <v>216</v>
      </c>
      <c r="E48">
        <v>20487703398</v>
      </c>
      <c r="F48" t="s">
        <v>115</v>
      </c>
      <c r="G48" t="s">
        <v>217</v>
      </c>
      <c r="H48" t="s">
        <v>217</v>
      </c>
      <c r="I48" t="s">
        <v>90</v>
      </c>
    </row>
    <row r="49" spans="1:9" x14ac:dyDescent="0.25">
      <c r="A49">
        <v>48</v>
      </c>
      <c r="B49" s="22">
        <v>1197</v>
      </c>
      <c r="C49" t="s">
        <v>218</v>
      </c>
      <c r="D49" t="s">
        <v>219</v>
      </c>
      <c r="E49">
        <v>20528077511</v>
      </c>
      <c r="F49" t="s">
        <v>105</v>
      </c>
      <c r="G49" t="s">
        <v>220</v>
      </c>
      <c r="H49" t="s">
        <v>221</v>
      </c>
      <c r="I49" t="s">
        <v>70</v>
      </c>
    </row>
    <row r="50" spans="1:9" x14ac:dyDescent="0.25">
      <c r="A50">
        <v>49</v>
      </c>
      <c r="B50" s="22">
        <v>1205</v>
      </c>
      <c r="C50" t="s">
        <v>222</v>
      </c>
      <c r="D50" t="s">
        <v>223</v>
      </c>
      <c r="E50">
        <v>20490522787</v>
      </c>
      <c r="F50" t="s">
        <v>105</v>
      </c>
      <c r="G50" t="s">
        <v>105</v>
      </c>
      <c r="H50" t="s">
        <v>106</v>
      </c>
      <c r="I50" t="s">
        <v>90</v>
      </c>
    </row>
    <row r="51" spans="1:9" x14ac:dyDescent="0.25">
      <c r="A51">
        <v>50</v>
      </c>
      <c r="B51" s="22">
        <v>1208</v>
      </c>
      <c r="C51" t="s">
        <v>224</v>
      </c>
      <c r="D51" t="s">
        <v>225</v>
      </c>
      <c r="E51">
        <v>20146919368</v>
      </c>
      <c r="F51" t="s">
        <v>125</v>
      </c>
      <c r="G51" t="s">
        <v>226</v>
      </c>
      <c r="H51" t="s">
        <v>227</v>
      </c>
      <c r="I51" t="s">
        <v>142</v>
      </c>
    </row>
    <row r="52" spans="1:9" x14ac:dyDescent="0.25">
      <c r="A52">
        <v>51</v>
      </c>
      <c r="B52" s="22">
        <v>1210</v>
      </c>
      <c r="C52" t="s">
        <v>228</v>
      </c>
      <c r="D52" t="s">
        <v>229</v>
      </c>
      <c r="E52">
        <v>20558179016</v>
      </c>
      <c r="F52" t="s">
        <v>100</v>
      </c>
      <c r="G52" t="s">
        <v>100</v>
      </c>
      <c r="H52" t="s">
        <v>100</v>
      </c>
      <c r="I52" t="s">
        <v>142</v>
      </c>
    </row>
    <row r="53" spans="1:9" x14ac:dyDescent="0.25">
      <c r="A53">
        <v>52</v>
      </c>
      <c r="B53" s="22">
        <v>1214</v>
      </c>
      <c r="C53" t="s">
        <v>230</v>
      </c>
      <c r="D53" t="s">
        <v>231</v>
      </c>
      <c r="E53">
        <v>20104139311</v>
      </c>
      <c r="F53" t="s">
        <v>73</v>
      </c>
      <c r="G53" t="s">
        <v>232</v>
      </c>
      <c r="H53" t="s">
        <v>232</v>
      </c>
      <c r="I53" t="s">
        <v>70</v>
      </c>
    </row>
    <row r="54" spans="1:9" x14ac:dyDescent="0.25">
      <c r="A54">
        <v>53</v>
      </c>
      <c r="B54" s="22">
        <v>1215</v>
      </c>
      <c r="C54" t="s">
        <v>233</v>
      </c>
      <c r="D54" t="s">
        <v>234</v>
      </c>
      <c r="E54">
        <v>20147276398</v>
      </c>
      <c r="F54" t="s">
        <v>105</v>
      </c>
      <c r="G54" t="s">
        <v>105</v>
      </c>
      <c r="H54" t="s">
        <v>235</v>
      </c>
      <c r="I54" t="s">
        <v>70</v>
      </c>
    </row>
    <row r="55" spans="1:9" x14ac:dyDescent="0.25">
      <c r="A55">
        <v>54</v>
      </c>
      <c r="B55" s="22">
        <v>1218</v>
      </c>
      <c r="C55" t="s">
        <v>236</v>
      </c>
      <c r="D55" t="s">
        <v>237</v>
      </c>
      <c r="E55">
        <v>20212387755</v>
      </c>
      <c r="F55" t="s">
        <v>93</v>
      </c>
      <c r="G55" t="s">
        <v>238</v>
      </c>
      <c r="H55" t="s">
        <v>238</v>
      </c>
      <c r="I55" t="s">
        <v>75</v>
      </c>
    </row>
    <row r="56" spans="1:9" x14ac:dyDescent="0.25">
      <c r="A56">
        <v>55</v>
      </c>
      <c r="B56" s="22">
        <v>1222</v>
      </c>
      <c r="C56" t="s">
        <v>239</v>
      </c>
      <c r="D56" t="s">
        <v>240</v>
      </c>
      <c r="E56">
        <v>20448291180</v>
      </c>
      <c r="F56" t="s">
        <v>174</v>
      </c>
      <c r="G56" t="s">
        <v>241</v>
      </c>
      <c r="H56" t="s">
        <v>242</v>
      </c>
      <c r="I56" t="s">
        <v>70</v>
      </c>
    </row>
    <row r="57" spans="1:9" x14ac:dyDescent="0.25">
      <c r="A57">
        <v>56</v>
      </c>
      <c r="B57" s="22">
        <v>1224</v>
      </c>
      <c r="C57" t="s">
        <v>243</v>
      </c>
      <c r="D57" t="s">
        <v>244</v>
      </c>
      <c r="E57">
        <v>20603872224</v>
      </c>
      <c r="F57" t="s">
        <v>78</v>
      </c>
      <c r="G57" t="s">
        <v>78</v>
      </c>
      <c r="H57" t="s">
        <v>129</v>
      </c>
      <c r="I57" t="s">
        <v>142</v>
      </c>
    </row>
    <row r="58" spans="1:9" x14ac:dyDescent="0.25">
      <c r="A58">
        <v>57</v>
      </c>
      <c r="B58" s="22">
        <v>1226</v>
      </c>
      <c r="C58" t="s">
        <v>245</v>
      </c>
      <c r="D58" t="s">
        <v>246</v>
      </c>
      <c r="E58">
        <v>20513893796</v>
      </c>
      <c r="F58" t="s">
        <v>78</v>
      </c>
      <c r="G58" t="s">
        <v>78</v>
      </c>
      <c r="H58" t="s">
        <v>247</v>
      </c>
      <c r="I58" t="s">
        <v>112</v>
      </c>
    </row>
    <row r="59" spans="1:9" x14ac:dyDescent="0.25">
      <c r="A59">
        <v>58</v>
      </c>
      <c r="B59" s="22">
        <v>1228</v>
      </c>
      <c r="C59" t="s">
        <v>248</v>
      </c>
      <c r="D59" t="s">
        <v>249</v>
      </c>
      <c r="E59">
        <v>20101256341</v>
      </c>
      <c r="F59" t="s">
        <v>78</v>
      </c>
      <c r="G59" t="s">
        <v>78</v>
      </c>
      <c r="H59" t="s">
        <v>96</v>
      </c>
      <c r="I59" t="s">
        <v>80</v>
      </c>
    </row>
    <row r="60" spans="1:9" x14ac:dyDescent="0.25">
      <c r="A60">
        <v>59</v>
      </c>
      <c r="B60" s="22">
        <v>1229</v>
      </c>
      <c r="C60" t="s">
        <v>250</v>
      </c>
      <c r="D60" t="s">
        <v>251</v>
      </c>
      <c r="E60">
        <v>20490864661</v>
      </c>
      <c r="F60" t="s">
        <v>163</v>
      </c>
      <c r="G60" t="s">
        <v>252</v>
      </c>
      <c r="H60" t="s">
        <v>252</v>
      </c>
      <c r="I60" t="s">
        <v>142</v>
      </c>
    </row>
    <row r="61" spans="1:9" x14ac:dyDescent="0.25">
      <c r="A61">
        <v>60</v>
      </c>
      <c r="B61" s="22">
        <v>1232</v>
      </c>
      <c r="C61" t="s">
        <v>253</v>
      </c>
      <c r="D61" t="s">
        <v>254</v>
      </c>
      <c r="E61">
        <v>20100846871</v>
      </c>
      <c r="F61" t="s">
        <v>78</v>
      </c>
      <c r="G61" t="s">
        <v>78</v>
      </c>
      <c r="H61" t="s">
        <v>255</v>
      </c>
      <c r="I61" t="s">
        <v>80</v>
      </c>
    </row>
    <row r="62" spans="1:9" x14ac:dyDescent="0.25">
      <c r="A62">
        <v>61</v>
      </c>
      <c r="B62" s="22">
        <v>1234</v>
      </c>
      <c r="C62" t="s">
        <v>256</v>
      </c>
      <c r="D62" t="s">
        <v>257</v>
      </c>
      <c r="E62">
        <v>20600904842</v>
      </c>
      <c r="F62" t="s">
        <v>105</v>
      </c>
      <c r="G62" t="s">
        <v>105</v>
      </c>
      <c r="H62" t="s">
        <v>106</v>
      </c>
      <c r="I62" t="s">
        <v>80</v>
      </c>
    </row>
    <row r="63" spans="1:9" x14ac:dyDescent="0.25">
      <c r="A63">
        <v>62</v>
      </c>
      <c r="B63" s="22">
        <v>1236</v>
      </c>
      <c r="C63" t="s">
        <v>258</v>
      </c>
      <c r="D63" t="s">
        <v>259</v>
      </c>
      <c r="E63">
        <v>20603026617</v>
      </c>
      <c r="F63" t="s">
        <v>78</v>
      </c>
      <c r="G63" t="s">
        <v>78</v>
      </c>
      <c r="H63" t="s">
        <v>132</v>
      </c>
      <c r="I63" t="s">
        <v>102</v>
      </c>
    </row>
    <row r="64" spans="1:9" x14ac:dyDescent="0.25">
      <c r="A64">
        <v>63</v>
      </c>
      <c r="B64" s="22">
        <v>1239</v>
      </c>
      <c r="C64" t="s">
        <v>260</v>
      </c>
      <c r="D64" t="s">
        <v>261</v>
      </c>
      <c r="E64">
        <v>20100196485</v>
      </c>
      <c r="F64" t="s">
        <v>100</v>
      </c>
      <c r="G64" t="s">
        <v>100</v>
      </c>
      <c r="H64" t="s">
        <v>100</v>
      </c>
      <c r="I64" t="s">
        <v>102</v>
      </c>
    </row>
    <row r="65" spans="1:9" x14ac:dyDescent="0.25">
      <c r="A65">
        <v>64</v>
      </c>
      <c r="B65" s="22">
        <v>1242</v>
      </c>
      <c r="C65" t="s">
        <v>262</v>
      </c>
      <c r="D65" t="s">
        <v>263</v>
      </c>
      <c r="E65">
        <v>20147866357</v>
      </c>
      <c r="F65" t="s">
        <v>78</v>
      </c>
      <c r="G65" t="s">
        <v>78</v>
      </c>
      <c r="H65" t="s">
        <v>264</v>
      </c>
      <c r="I65" t="s">
        <v>112</v>
      </c>
    </row>
    <row r="66" spans="1:9" x14ac:dyDescent="0.25">
      <c r="A66">
        <v>65</v>
      </c>
      <c r="B66" s="22">
        <v>1243</v>
      </c>
      <c r="C66" t="s">
        <v>265</v>
      </c>
      <c r="D66" t="s">
        <v>266</v>
      </c>
      <c r="E66">
        <v>20117514821</v>
      </c>
      <c r="F66" t="s">
        <v>78</v>
      </c>
      <c r="G66" t="s">
        <v>78</v>
      </c>
      <c r="H66" t="s">
        <v>129</v>
      </c>
      <c r="I66" t="s">
        <v>97</v>
      </c>
    </row>
    <row r="67" spans="1:9" x14ac:dyDescent="0.25">
      <c r="A67">
        <v>66</v>
      </c>
      <c r="B67" s="22">
        <v>1245</v>
      </c>
      <c r="C67" t="s">
        <v>267</v>
      </c>
      <c r="D67" t="s">
        <v>268</v>
      </c>
      <c r="E67">
        <v>20198461050</v>
      </c>
      <c r="F67" t="s">
        <v>115</v>
      </c>
      <c r="G67" t="s">
        <v>116</v>
      </c>
      <c r="H67" t="s">
        <v>116</v>
      </c>
      <c r="I67" t="s">
        <v>142</v>
      </c>
    </row>
    <row r="68" spans="1:9" x14ac:dyDescent="0.25">
      <c r="A68">
        <v>67</v>
      </c>
      <c r="B68" s="22">
        <v>1247</v>
      </c>
      <c r="C68" t="s">
        <v>269</v>
      </c>
      <c r="D68" t="s">
        <v>270</v>
      </c>
      <c r="E68">
        <v>20147154365</v>
      </c>
      <c r="F68" t="s">
        <v>271</v>
      </c>
      <c r="G68" t="s">
        <v>272</v>
      </c>
      <c r="H68" t="s">
        <v>273</v>
      </c>
      <c r="I68" t="s">
        <v>97</v>
      </c>
    </row>
    <row r="69" spans="1:9" x14ac:dyDescent="0.25">
      <c r="A69">
        <v>68</v>
      </c>
      <c r="B69" s="22">
        <v>1252</v>
      </c>
      <c r="C69" t="s">
        <v>274</v>
      </c>
      <c r="D69" t="s">
        <v>275</v>
      </c>
      <c r="E69">
        <v>20134626667</v>
      </c>
      <c r="F69" t="s">
        <v>276</v>
      </c>
      <c r="G69" t="s">
        <v>276</v>
      </c>
      <c r="H69" t="s">
        <v>277</v>
      </c>
      <c r="I69" t="s">
        <v>102</v>
      </c>
    </row>
    <row r="70" spans="1:9" x14ac:dyDescent="0.25">
      <c r="A70">
        <v>69</v>
      </c>
      <c r="B70" s="22">
        <v>1253</v>
      </c>
      <c r="C70" t="s">
        <v>278</v>
      </c>
      <c r="D70" t="s">
        <v>279</v>
      </c>
      <c r="E70">
        <v>20162334639</v>
      </c>
      <c r="F70" t="s">
        <v>100</v>
      </c>
      <c r="G70" t="s">
        <v>100</v>
      </c>
      <c r="H70" t="s">
        <v>100</v>
      </c>
      <c r="I70" t="s">
        <v>75</v>
      </c>
    </row>
    <row r="71" spans="1:9" x14ac:dyDescent="0.25">
      <c r="A71">
        <v>70</v>
      </c>
      <c r="B71" s="22">
        <v>1255</v>
      </c>
      <c r="C71" t="s">
        <v>280</v>
      </c>
      <c r="D71" t="s">
        <v>281</v>
      </c>
      <c r="E71">
        <v>20100488931</v>
      </c>
      <c r="F71" t="s">
        <v>78</v>
      </c>
      <c r="G71" t="s">
        <v>78</v>
      </c>
      <c r="H71" t="s">
        <v>78</v>
      </c>
      <c r="I71" t="s">
        <v>90</v>
      </c>
    </row>
    <row r="72" spans="1:9" x14ac:dyDescent="0.25">
      <c r="A72">
        <v>71</v>
      </c>
      <c r="B72" s="22">
        <v>1257</v>
      </c>
      <c r="C72" t="s">
        <v>282</v>
      </c>
      <c r="D72" t="s">
        <v>283</v>
      </c>
      <c r="E72">
        <v>20207056121</v>
      </c>
      <c r="F72" t="s">
        <v>68</v>
      </c>
      <c r="G72" t="s">
        <v>69</v>
      </c>
      <c r="H72" t="s">
        <v>68</v>
      </c>
      <c r="I72" t="s">
        <v>112</v>
      </c>
    </row>
    <row r="73" spans="1:9" x14ac:dyDescent="0.25">
      <c r="A73">
        <v>72</v>
      </c>
      <c r="B73" s="22">
        <v>1260</v>
      </c>
      <c r="C73" t="s">
        <v>284</v>
      </c>
      <c r="D73" t="s">
        <v>285</v>
      </c>
      <c r="E73">
        <v>20100874068</v>
      </c>
      <c r="F73" t="s">
        <v>78</v>
      </c>
      <c r="G73" t="s">
        <v>78</v>
      </c>
      <c r="H73" t="s">
        <v>151</v>
      </c>
      <c r="I73" t="s">
        <v>102</v>
      </c>
    </row>
    <row r="74" spans="1:9" x14ac:dyDescent="0.25">
      <c r="A74">
        <v>73</v>
      </c>
      <c r="B74" s="22">
        <v>1265</v>
      </c>
      <c r="C74" t="s">
        <v>286</v>
      </c>
      <c r="D74" t="s">
        <v>287</v>
      </c>
      <c r="E74">
        <v>20106648965</v>
      </c>
      <c r="F74" t="s">
        <v>78</v>
      </c>
      <c r="G74" t="s">
        <v>78</v>
      </c>
      <c r="H74" t="s">
        <v>288</v>
      </c>
      <c r="I74" t="s">
        <v>75</v>
      </c>
    </row>
    <row r="75" spans="1:9" x14ac:dyDescent="0.25">
      <c r="A75">
        <v>74</v>
      </c>
      <c r="B75" s="22">
        <v>1268</v>
      </c>
      <c r="C75" t="s">
        <v>289</v>
      </c>
      <c r="D75" t="s">
        <v>290</v>
      </c>
      <c r="E75">
        <v>20541417932</v>
      </c>
      <c r="F75" t="s">
        <v>204</v>
      </c>
      <c r="G75" t="s">
        <v>291</v>
      </c>
      <c r="H75" t="s">
        <v>292</v>
      </c>
      <c r="I75" t="s">
        <v>85</v>
      </c>
    </row>
    <row r="76" spans="1:9" x14ac:dyDescent="0.25">
      <c r="A76">
        <v>75</v>
      </c>
      <c r="B76" s="22">
        <v>1270</v>
      </c>
      <c r="C76" t="s">
        <v>293</v>
      </c>
      <c r="D76" t="s">
        <v>294</v>
      </c>
      <c r="E76">
        <v>20439025124</v>
      </c>
      <c r="F76" t="s">
        <v>295</v>
      </c>
      <c r="G76" t="s">
        <v>296</v>
      </c>
      <c r="H76" t="s">
        <v>296</v>
      </c>
      <c r="I76" t="s">
        <v>112</v>
      </c>
    </row>
    <row r="77" spans="1:9" x14ac:dyDescent="0.25">
      <c r="A77">
        <v>76</v>
      </c>
      <c r="B77" s="22">
        <v>1271</v>
      </c>
      <c r="C77" t="s">
        <v>297</v>
      </c>
      <c r="D77" t="s">
        <v>298</v>
      </c>
      <c r="E77">
        <v>20600550196</v>
      </c>
      <c r="F77" t="s">
        <v>78</v>
      </c>
      <c r="G77" t="s">
        <v>78</v>
      </c>
      <c r="H77" t="s">
        <v>247</v>
      </c>
      <c r="I77" t="s">
        <v>102</v>
      </c>
    </row>
    <row r="78" spans="1:9" x14ac:dyDescent="0.25">
      <c r="A78">
        <v>77</v>
      </c>
      <c r="B78" s="22">
        <v>1281</v>
      </c>
      <c r="C78" t="s">
        <v>299</v>
      </c>
      <c r="D78" t="s">
        <v>300</v>
      </c>
      <c r="E78">
        <v>20118475870</v>
      </c>
      <c r="F78" t="s">
        <v>78</v>
      </c>
      <c r="G78" t="s">
        <v>78</v>
      </c>
      <c r="H78" t="s">
        <v>255</v>
      </c>
      <c r="I78" t="s">
        <v>90</v>
      </c>
    </row>
    <row r="79" spans="1:9" x14ac:dyDescent="0.25">
      <c r="A79">
        <v>78</v>
      </c>
      <c r="B79" s="22">
        <v>1282</v>
      </c>
      <c r="C79" t="s">
        <v>301</v>
      </c>
      <c r="D79" t="s">
        <v>302</v>
      </c>
      <c r="E79">
        <v>20601358108</v>
      </c>
      <c r="F79" t="s">
        <v>105</v>
      </c>
      <c r="G79" t="s">
        <v>105</v>
      </c>
      <c r="H79" t="s">
        <v>105</v>
      </c>
      <c r="I79" t="s">
        <v>90</v>
      </c>
    </row>
    <row r="80" spans="1:9" x14ac:dyDescent="0.25">
      <c r="A80">
        <v>79</v>
      </c>
      <c r="B80" s="22">
        <v>1283</v>
      </c>
      <c r="C80" t="s">
        <v>303</v>
      </c>
      <c r="D80" t="s">
        <v>304</v>
      </c>
      <c r="E80">
        <v>20541490346</v>
      </c>
      <c r="F80" t="s">
        <v>204</v>
      </c>
      <c r="G80" t="s">
        <v>305</v>
      </c>
      <c r="H80" t="s">
        <v>306</v>
      </c>
      <c r="I80" t="s">
        <v>85</v>
      </c>
    </row>
    <row r="81" spans="1:9" x14ac:dyDescent="0.25">
      <c r="A81">
        <v>80</v>
      </c>
      <c r="B81" s="22">
        <v>1287</v>
      </c>
      <c r="C81" t="s">
        <v>307</v>
      </c>
      <c r="D81" t="s">
        <v>308</v>
      </c>
      <c r="E81">
        <v>20214525136</v>
      </c>
      <c r="F81" t="s">
        <v>115</v>
      </c>
      <c r="G81" t="s">
        <v>116</v>
      </c>
      <c r="H81" t="s">
        <v>309</v>
      </c>
      <c r="I81" t="s">
        <v>85</v>
      </c>
    </row>
    <row r="82" spans="1:9" x14ac:dyDescent="0.25">
      <c r="A82">
        <v>81</v>
      </c>
      <c r="B82" s="22">
        <v>1288</v>
      </c>
      <c r="C82" t="s">
        <v>310</v>
      </c>
      <c r="D82" t="s">
        <v>311</v>
      </c>
      <c r="E82">
        <v>20101945040</v>
      </c>
      <c r="F82" t="s">
        <v>78</v>
      </c>
      <c r="G82" t="s">
        <v>78</v>
      </c>
      <c r="H82" t="s">
        <v>129</v>
      </c>
      <c r="I82" t="s">
        <v>142</v>
      </c>
    </row>
    <row r="83" spans="1:9" x14ac:dyDescent="0.25">
      <c r="A83">
        <v>82</v>
      </c>
      <c r="B83" s="22">
        <v>1290</v>
      </c>
      <c r="C83" t="s">
        <v>312</v>
      </c>
      <c r="D83" t="s">
        <v>313</v>
      </c>
      <c r="E83">
        <v>20142607060</v>
      </c>
      <c r="F83" t="s">
        <v>78</v>
      </c>
      <c r="G83" t="s">
        <v>78</v>
      </c>
      <c r="H83" t="s">
        <v>314</v>
      </c>
      <c r="I83" t="s">
        <v>102</v>
      </c>
    </row>
    <row r="84" spans="1:9" x14ac:dyDescent="0.25">
      <c r="A84">
        <v>83</v>
      </c>
      <c r="B84" s="22">
        <v>1291</v>
      </c>
      <c r="C84" t="s">
        <v>315</v>
      </c>
      <c r="D84" t="s">
        <v>316</v>
      </c>
      <c r="E84">
        <v>20448279058</v>
      </c>
      <c r="F84" t="s">
        <v>174</v>
      </c>
      <c r="G84" t="s">
        <v>175</v>
      </c>
      <c r="H84" t="s">
        <v>317</v>
      </c>
      <c r="I84" t="s">
        <v>90</v>
      </c>
    </row>
    <row r="85" spans="1:9" x14ac:dyDescent="0.25">
      <c r="A85">
        <v>84</v>
      </c>
      <c r="B85" s="22">
        <v>1295</v>
      </c>
      <c r="C85" t="s">
        <v>318</v>
      </c>
      <c r="D85" t="s">
        <v>319</v>
      </c>
      <c r="E85">
        <v>20448439608</v>
      </c>
      <c r="F85" t="s">
        <v>174</v>
      </c>
      <c r="G85" t="s">
        <v>320</v>
      </c>
      <c r="H85" t="s">
        <v>321</v>
      </c>
      <c r="I85" t="s">
        <v>97</v>
      </c>
    </row>
    <row r="86" spans="1:9" x14ac:dyDescent="0.25">
      <c r="A86">
        <v>85</v>
      </c>
      <c r="B86" s="22">
        <v>1299</v>
      </c>
      <c r="C86" t="s">
        <v>322</v>
      </c>
      <c r="D86" t="s">
        <v>323</v>
      </c>
      <c r="E86">
        <v>20480547731</v>
      </c>
      <c r="F86" t="s">
        <v>125</v>
      </c>
      <c r="G86" t="s">
        <v>324</v>
      </c>
      <c r="H86" t="s">
        <v>325</v>
      </c>
      <c r="I86" t="s">
        <v>97</v>
      </c>
    </row>
    <row r="87" spans="1:9" x14ac:dyDescent="0.25">
      <c r="A87">
        <v>86</v>
      </c>
      <c r="B87" s="22">
        <v>1300</v>
      </c>
      <c r="C87" t="s">
        <v>326</v>
      </c>
      <c r="D87" t="s">
        <v>327</v>
      </c>
      <c r="E87">
        <v>20601390419</v>
      </c>
      <c r="F87" t="s">
        <v>100</v>
      </c>
      <c r="G87" t="s">
        <v>100</v>
      </c>
      <c r="H87" t="s">
        <v>101</v>
      </c>
      <c r="I87" t="s">
        <v>70</v>
      </c>
    </row>
    <row r="88" spans="1:9" x14ac:dyDescent="0.25">
      <c r="A88">
        <v>87</v>
      </c>
      <c r="B88" s="22">
        <v>1301</v>
      </c>
      <c r="C88" t="s">
        <v>328</v>
      </c>
      <c r="D88" t="s">
        <v>329</v>
      </c>
      <c r="E88">
        <v>20200140916</v>
      </c>
      <c r="F88" t="s">
        <v>83</v>
      </c>
      <c r="G88" t="s">
        <v>330</v>
      </c>
      <c r="H88" t="s">
        <v>330</v>
      </c>
      <c r="I88" t="s">
        <v>112</v>
      </c>
    </row>
    <row r="89" spans="1:9" x14ac:dyDescent="0.25">
      <c r="A89">
        <v>88</v>
      </c>
      <c r="B89" s="22">
        <v>1302</v>
      </c>
      <c r="C89" t="s">
        <v>331</v>
      </c>
      <c r="D89" t="s">
        <v>332</v>
      </c>
      <c r="E89">
        <v>20549331344</v>
      </c>
      <c r="F89" t="s">
        <v>192</v>
      </c>
      <c r="G89" t="s">
        <v>193</v>
      </c>
      <c r="H89" t="s">
        <v>192</v>
      </c>
      <c r="I89" t="s">
        <v>112</v>
      </c>
    </row>
    <row r="90" spans="1:9" x14ac:dyDescent="0.25">
      <c r="A90">
        <v>89</v>
      </c>
      <c r="B90" s="22">
        <v>1305</v>
      </c>
      <c r="C90" t="s">
        <v>333</v>
      </c>
      <c r="D90" t="s">
        <v>334</v>
      </c>
      <c r="E90">
        <v>20138469019</v>
      </c>
      <c r="F90" t="s">
        <v>78</v>
      </c>
      <c r="G90" t="s">
        <v>78</v>
      </c>
      <c r="H90" t="s">
        <v>335</v>
      </c>
      <c r="I90" t="s">
        <v>75</v>
      </c>
    </row>
    <row r="91" spans="1:9" x14ac:dyDescent="0.25">
      <c r="A91">
        <v>90</v>
      </c>
      <c r="B91" s="22">
        <v>1310</v>
      </c>
      <c r="C91" t="s">
        <v>336</v>
      </c>
      <c r="D91" t="s">
        <v>337</v>
      </c>
      <c r="E91">
        <v>20448188681</v>
      </c>
      <c r="F91" t="s">
        <v>174</v>
      </c>
      <c r="G91" t="s">
        <v>175</v>
      </c>
      <c r="H91" t="s">
        <v>176</v>
      </c>
      <c r="I91" t="s">
        <v>85</v>
      </c>
    </row>
    <row r="92" spans="1:9" x14ac:dyDescent="0.25">
      <c r="A92">
        <v>91</v>
      </c>
      <c r="B92" s="22">
        <v>1311</v>
      </c>
      <c r="C92" t="s">
        <v>338</v>
      </c>
      <c r="D92" t="s">
        <v>339</v>
      </c>
      <c r="E92">
        <v>20171726205</v>
      </c>
      <c r="F92" t="s">
        <v>181</v>
      </c>
      <c r="G92" t="s">
        <v>181</v>
      </c>
      <c r="H92" t="s">
        <v>181</v>
      </c>
      <c r="I92" t="s">
        <v>142</v>
      </c>
    </row>
    <row r="93" spans="1:9" x14ac:dyDescent="0.25">
      <c r="A93">
        <v>92</v>
      </c>
      <c r="B93" s="22">
        <v>1317</v>
      </c>
      <c r="C93" t="s">
        <v>340</v>
      </c>
      <c r="D93" t="s">
        <v>341</v>
      </c>
      <c r="E93">
        <v>20140609367</v>
      </c>
      <c r="F93" t="s">
        <v>78</v>
      </c>
      <c r="G93" t="s">
        <v>342</v>
      </c>
      <c r="H93" t="s">
        <v>343</v>
      </c>
      <c r="I93" t="s">
        <v>97</v>
      </c>
    </row>
    <row r="94" spans="1:9" x14ac:dyDescent="0.25">
      <c r="A94">
        <v>93</v>
      </c>
      <c r="B94" s="22">
        <v>1318</v>
      </c>
      <c r="C94" t="s">
        <v>344</v>
      </c>
      <c r="D94" t="s">
        <v>345</v>
      </c>
      <c r="E94">
        <v>20491175584</v>
      </c>
      <c r="F94" t="s">
        <v>105</v>
      </c>
      <c r="G94" t="s">
        <v>346</v>
      </c>
      <c r="H94" t="s">
        <v>347</v>
      </c>
      <c r="I94" t="s">
        <v>75</v>
      </c>
    </row>
    <row r="95" spans="1:9" x14ac:dyDescent="0.25">
      <c r="A95">
        <v>94</v>
      </c>
      <c r="B95" s="22">
        <v>1324</v>
      </c>
      <c r="C95" t="s">
        <v>348</v>
      </c>
      <c r="D95" t="s">
        <v>349</v>
      </c>
      <c r="E95">
        <v>20539351339</v>
      </c>
      <c r="F95" t="s">
        <v>100</v>
      </c>
      <c r="G95" t="s">
        <v>350</v>
      </c>
      <c r="H95" t="s">
        <v>351</v>
      </c>
      <c r="I95" t="s">
        <v>85</v>
      </c>
    </row>
    <row r="96" spans="1:9" x14ac:dyDescent="0.25">
      <c r="A96">
        <v>95</v>
      </c>
      <c r="B96" s="22">
        <v>1326</v>
      </c>
      <c r="C96" t="s">
        <v>352</v>
      </c>
      <c r="D96" t="s">
        <v>353</v>
      </c>
      <c r="E96">
        <v>20121760232</v>
      </c>
      <c r="F96" t="s">
        <v>204</v>
      </c>
      <c r="G96" t="s">
        <v>354</v>
      </c>
      <c r="H96" t="s">
        <v>355</v>
      </c>
      <c r="I96" t="s">
        <v>90</v>
      </c>
    </row>
    <row r="97" spans="1:9" x14ac:dyDescent="0.25">
      <c r="A97">
        <v>96</v>
      </c>
      <c r="B97" s="22">
        <v>1334</v>
      </c>
      <c r="C97" t="s">
        <v>356</v>
      </c>
      <c r="D97" t="s">
        <v>357</v>
      </c>
      <c r="E97">
        <v>20103691771</v>
      </c>
      <c r="F97" t="s">
        <v>115</v>
      </c>
      <c r="G97" t="s">
        <v>116</v>
      </c>
      <c r="H97" t="s">
        <v>116</v>
      </c>
      <c r="I97" t="s">
        <v>70</v>
      </c>
    </row>
    <row r="98" spans="1:9" x14ac:dyDescent="0.25">
      <c r="A98">
        <v>97</v>
      </c>
      <c r="B98" s="22">
        <v>1337</v>
      </c>
      <c r="C98" t="s">
        <v>358</v>
      </c>
      <c r="D98" t="s">
        <v>359</v>
      </c>
      <c r="E98">
        <v>20431596319</v>
      </c>
      <c r="F98" t="s">
        <v>78</v>
      </c>
      <c r="G98" t="s">
        <v>78</v>
      </c>
      <c r="H98" t="s">
        <v>360</v>
      </c>
      <c r="I98" t="s">
        <v>97</v>
      </c>
    </row>
    <row r="99" spans="1:9" x14ac:dyDescent="0.25">
      <c r="A99">
        <v>98</v>
      </c>
      <c r="B99" s="22">
        <v>1340</v>
      </c>
      <c r="C99" t="s">
        <v>361</v>
      </c>
      <c r="D99" t="s">
        <v>362</v>
      </c>
      <c r="E99">
        <v>20165290284</v>
      </c>
      <c r="F99" t="s">
        <v>295</v>
      </c>
      <c r="G99" t="s">
        <v>363</v>
      </c>
      <c r="H99" t="s">
        <v>364</v>
      </c>
      <c r="I99" t="s">
        <v>80</v>
      </c>
    </row>
    <row r="100" spans="1:9" x14ac:dyDescent="0.25">
      <c r="A100">
        <v>99</v>
      </c>
      <c r="B100" s="22">
        <v>1343</v>
      </c>
      <c r="C100" t="s">
        <v>365</v>
      </c>
      <c r="D100" t="s">
        <v>366</v>
      </c>
      <c r="E100">
        <v>20600644778</v>
      </c>
      <c r="F100" t="s">
        <v>78</v>
      </c>
      <c r="G100" t="s">
        <v>78</v>
      </c>
      <c r="H100" t="s">
        <v>367</v>
      </c>
      <c r="I100" t="s">
        <v>102</v>
      </c>
    </row>
    <row r="101" spans="1:9" x14ac:dyDescent="0.25">
      <c r="A101">
        <v>100</v>
      </c>
      <c r="B101" s="22">
        <v>1347</v>
      </c>
      <c r="C101" t="s">
        <v>368</v>
      </c>
      <c r="D101" t="s">
        <v>369</v>
      </c>
      <c r="E101">
        <v>20100841992</v>
      </c>
      <c r="F101" t="s">
        <v>78</v>
      </c>
      <c r="G101" t="s">
        <v>78</v>
      </c>
      <c r="H101" t="s">
        <v>255</v>
      </c>
      <c r="I101" t="s">
        <v>112</v>
      </c>
    </row>
    <row r="102" spans="1:9" x14ac:dyDescent="0.25">
      <c r="A102">
        <v>101</v>
      </c>
      <c r="B102" s="22">
        <v>1350</v>
      </c>
      <c r="C102" t="s">
        <v>370</v>
      </c>
      <c r="D102" t="s">
        <v>371</v>
      </c>
      <c r="E102">
        <v>20144895411</v>
      </c>
      <c r="F102" t="s">
        <v>78</v>
      </c>
      <c r="G102" t="s">
        <v>78</v>
      </c>
      <c r="H102" t="s">
        <v>314</v>
      </c>
      <c r="I102" t="s">
        <v>75</v>
      </c>
    </row>
    <row r="103" spans="1:9" x14ac:dyDescent="0.25">
      <c r="A103">
        <v>102</v>
      </c>
      <c r="B103" s="22">
        <v>1354</v>
      </c>
      <c r="C103" t="s">
        <v>372</v>
      </c>
      <c r="D103" t="s">
        <v>373</v>
      </c>
      <c r="E103">
        <v>20564270581</v>
      </c>
      <c r="F103" t="s">
        <v>163</v>
      </c>
      <c r="G103" t="s">
        <v>252</v>
      </c>
      <c r="H103" t="s">
        <v>252</v>
      </c>
      <c r="I103" t="s">
        <v>112</v>
      </c>
    </row>
    <row r="104" spans="1:9" x14ac:dyDescent="0.25">
      <c r="A104">
        <v>103</v>
      </c>
      <c r="B104" s="22">
        <v>1361</v>
      </c>
      <c r="C104" t="s">
        <v>374</v>
      </c>
      <c r="D104" t="s">
        <v>375</v>
      </c>
      <c r="E104">
        <v>20453715737</v>
      </c>
      <c r="F104" t="s">
        <v>93</v>
      </c>
      <c r="G104" t="s">
        <v>93</v>
      </c>
      <c r="H104" t="s">
        <v>93</v>
      </c>
      <c r="I104" t="s">
        <v>97</v>
      </c>
    </row>
    <row r="105" spans="1:9" x14ac:dyDescent="0.25">
      <c r="A105">
        <v>104</v>
      </c>
      <c r="B105" s="22">
        <v>1364</v>
      </c>
      <c r="C105" t="s">
        <v>376</v>
      </c>
      <c r="D105" t="s">
        <v>377</v>
      </c>
      <c r="E105">
        <v>20109812553</v>
      </c>
      <c r="F105" t="s">
        <v>78</v>
      </c>
      <c r="G105" t="s">
        <v>78</v>
      </c>
      <c r="H105" t="s">
        <v>264</v>
      </c>
      <c r="I105" t="s">
        <v>85</v>
      </c>
    </row>
    <row r="106" spans="1:9" x14ac:dyDescent="0.25">
      <c r="A106">
        <v>105</v>
      </c>
      <c r="B106" s="22">
        <v>1365</v>
      </c>
      <c r="C106" t="s">
        <v>378</v>
      </c>
      <c r="D106" t="s">
        <v>379</v>
      </c>
      <c r="E106">
        <v>20558231115</v>
      </c>
      <c r="F106" t="s">
        <v>100</v>
      </c>
      <c r="G106" t="s">
        <v>100</v>
      </c>
      <c r="H106" t="s">
        <v>100</v>
      </c>
      <c r="I106" t="s">
        <v>90</v>
      </c>
    </row>
    <row r="107" spans="1:9" x14ac:dyDescent="0.25">
      <c r="A107">
        <v>106</v>
      </c>
      <c r="B107" s="22">
        <v>1374</v>
      </c>
      <c r="C107" t="s">
        <v>380</v>
      </c>
      <c r="D107" t="s">
        <v>381</v>
      </c>
      <c r="E107">
        <v>20108117240</v>
      </c>
      <c r="F107" t="s">
        <v>78</v>
      </c>
      <c r="G107" t="s">
        <v>78</v>
      </c>
      <c r="H107" t="s">
        <v>382</v>
      </c>
      <c r="I107" t="s">
        <v>80</v>
      </c>
    </row>
    <row r="108" spans="1:9" x14ac:dyDescent="0.25">
      <c r="A108">
        <v>107</v>
      </c>
      <c r="B108" s="22">
        <v>1376</v>
      </c>
      <c r="C108" t="s">
        <v>383</v>
      </c>
      <c r="D108" t="s">
        <v>384</v>
      </c>
      <c r="E108">
        <v>20601240395</v>
      </c>
      <c r="F108" t="s">
        <v>105</v>
      </c>
      <c r="G108" t="s">
        <v>385</v>
      </c>
      <c r="H108" t="s">
        <v>385</v>
      </c>
      <c r="I108" t="s">
        <v>70</v>
      </c>
    </row>
    <row r="109" spans="1:9" x14ac:dyDescent="0.25">
      <c r="A109">
        <v>108</v>
      </c>
      <c r="B109" s="22">
        <v>1381</v>
      </c>
      <c r="C109" t="s">
        <v>386</v>
      </c>
      <c r="D109" t="s">
        <v>387</v>
      </c>
      <c r="E109">
        <v>20602433791</v>
      </c>
      <c r="F109" t="s">
        <v>105</v>
      </c>
      <c r="G109" t="s">
        <v>385</v>
      </c>
      <c r="H109" t="s">
        <v>385</v>
      </c>
      <c r="I109" t="s">
        <v>70</v>
      </c>
    </row>
    <row r="110" spans="1:9" x14ac:dyDescent="0.25">
      <c r="A110">
        <v>109</v>
      </c>
      <c r="B110" s="22">
        <v>1383</v>
      </c>
      <c r="C110" t="s">
        <v>388</v>
      </c>
      <c r="D110" t="s">
        <v>389</v>
      </c>
      <c r="E110">
        <v>20460161577</v>
      </c>
      <c r="F110" t="s">
        <v>78</v>
      </c>
      <c r="G110" t="s">
        <v>78</v>
      </c>
      <c r="H110" t="s">
        <v>255</v>
      </c>
      <c r="I110" t="s">
        <v>102</v>
      </c>
    </row>
    <row r="111" spans="1:9" x14ac:dyDescent="0.25">
      <c r="A111">
        <v>110</v>
      </c>
      <c r="B111" s="22">
        <v>1393</v>
      </c>
      <c r="C111" t="s">
        <v>390</v>
      </c>
      <c r="D111" t="s">
        <v>391</v>
      </c>
      <c r="E111">
        <v>20130290320</v>
      </c>
      <c r="F111" t="s">
        <v>78</v>
      </c>
      <c r="G111" t="s">
        <v>78</v>
      </c>
      <c r="H111" t="s">
        <v>78</v>
      </c>
      <c r="I111" t="s">
        <v>102</v>
      </c>
    </row>
    <row r="112" spans="1:9" x14ac:dyDescent="0.25">
      <c r="A112">
        <v>111</v>
      </c>
      <c r="B112" s="22">
        <v>1403</v>
      </c>
      <c r="C112" t="s">
        <v>392</v>
      </c>
      <c r="D112" t="s">
        <v>393</v>
      </c>
      <c r="E112">
        <v>20603301057</v>
      </c>
      <c r="F112" t="s">
        <v>105</v>
      </c>
      <c r="G112" t="s">
        <v>105</v>
      </c>
      <c r="H112" t="s">
        <v>394</v>
      </c>
      <c r="I112" t="s">
        <v>112</v>
      </c>
    </row>
    <row r="113" spans="1:9" x14ac:dyDescent="0.25">
      <c r="A113">
        <v>112</v>
      </c>
      <c r="B113" s="22">
        <v>1404</v>
      </c>
      <c r="C113" t="s">
        <v>395</v>
      </c>
      <c r="D113" t="s">
        <v>396</v>
      </c>
      <c r="E113">
        <v>20490653377</v>
      </c>
      <c r="F113" t="s">
        <v>163</v>
      </c>
      <c r="G113" t="s">
        <v>164</v>
      </c>
      <c r="H113" t="s">
        <v>397</v>
      </c>
      <c r="I113" t="s">
        <v>70</v>
      </c>
    </row>
    <row r="114" spans="1:9" x14ac:dyDescent="0.25">
      <c r="A114">
        <v>113</v>
      </c>
      <c r="B114" s="22">
        <v>1405</v>
      </c>
      <c r="C114" t="s">
        <v>398</v>
      </c>
      <c r="D114" t="s">
        <v>399</v>
      </c>
      <c r="E114">
        <v>20139067852</v>
      </c>
      <c r="F114" t="s">
        <v>192</v>
      </c>
      <c r="G114" t="s">
        <v>193</v>
      </c>
      <c r="H114" t="s">
        <v>192</v>
      </c>
      <c r="I114" t="s">
        <v>80</v>
      </c>
    </row>
    <row r="115" spans="1:9" x14ac:dyDescent="0.25">
      <c r="A115">
        <v>114</v>
      </c>
      <c r="B115" s="22">
        <v>1406</v>
      </c>
      <c r="C115" t="s">
        <v>400</v>
      </c>
      <c r="D115" t="s">
        <v>401</v>
      </c>
      <c r="E115">
        <v>20129826151</v>
      </c>
      <c r="F115" t="s">
        <v>276</v>
      </c>
      <c r="G115" t="s">
        <v>276</v>
      </c>
      <c r="H115" t="s">
        <v>277</v>
      </c>
      <c r="I115" t="s">
        <v>142</v>
      </c>
    </row>
    <row r="116" spans="1:9" x14ac:dyDescent="0.25">
      <c r="A116">
        <v>115</v>
      </c>
      <c r="B116" s="22">
        <v>1408</v>
      </c>
      <c r="C116" t="s">
        <v>402</v>
      </c>
      <c r="D116" t="s">
        <v>403</v>
      </c>
      <c r="E116">
        <v>20600092619</v>
      </c>
      <c r="F116" t="s">
        <v>163</v>
      </c>
      <c r="G116" t="s">
        <v>404</v>
      </c>
      <c r="H116" t="s">
        <v>405</v>
      </c>
      <c r="I116" t="s">
        <v>90</v>
      </c>
    </row>
    <row r="117" spans="1:9" x14ac:dyDescent="0.25">
      <c r="A117">
        <v>116</v>
      </c>
      <c r="B117" s="22">
        <v>1410</v>
      </c>
      <c r="C117" t="s">
        <v>406</v>
      </c>
      <c r="D117" t="s">
        <v>407</v>
      </c>
      <c r="E117">
        <v>20148318272</v>
      </c>
      <c r="F117" t="s">
        <v>78</v>
      </c>
      <c r="G117" t="s">
        <v>78</v>
      </c>
      <c r="H117" t="s">
        <v>360</v>
      </c>
      <c r="I117" t="s">
        <v>142</v>
      </c>
    </row>
    <row r="118" spans="1:9" x14ac:dyDescent="0.25">
      <c r="A118">
        <v>117</v>
      </c>
      <c r="B118" s="22">
        <v>1415</v>
      </c>
      <c r="C118" t="s">
        <v>408</v>
      </c>
      <c r="D118" t="s">
        <v>409</v>
      </c>
      <c r="E118">
        <v>20101241158</v>
      </c>
      <c r="F118" t="s">
        <v>78</v>
      </c>
      <c r="G118" t="s">
        <v>78</v>
      </c>
      <c r="H118" t="s">
        <v>120</v>
      </c>
      <c r="I118" t="s">
        <v>80</v>
      </c>
    </row>
    <row r="119" spans="1:9" x14ac:dyDescent="0.25">
      <c r="A119">
        <v>118</v>
      </c>
      <c r="B119" s="22">
        <v>1430</v>
      </c>
      <c r="C119" t="s">
        <v>410</v>
      </c>
      <c r="D119" t="s">
        <v>411</v>
      </c>
      <c r="E119">
        <v>20564368394</v>
      </c>
      <c r="F119" t="s">
        <v>105</v>
      </c>
      <c r="G119" t="s">
        <v>105</v>
      </c>
      <c r="H119" t="s">
        <v>106</v>
      </c>
      <c r="I119" t="s">
        <v>75</v>
      </c>
    </row>
    <row r="120" spans="1:9" x14ac:dyDescent="0.25">
      <c r="A120">
        <v>119</v>
      </c>
      <c r="B120" s="22">
        <v>1431</v>
      </c>
      <c r="C120" t="s">
        <v>412</v>
      </c>
      <c r="D120" t="s">
        <v>413</v>
      </c>
      <c r="E120">
        <v>20505248687</v>
      </c>
      <c r="F120" t="s">
        <v>78</v>
      </c>
      <c r="G120" t="s">
        <v>78</v>
      </c>
      <c r="H120" t="s">
        <v>96</v>
      </c>
      <c r="I120" t="s">
        <v>90</v>
      </c>
    </row>
    <row r="121" spans="1:9" x14ac:dyDescent="0.25">
      <c r="A121">
        <v>120</v>
      </c>
      <c r="B121" s="22">
        <v>1433</v>
      </c>
      <c r="C121" t="s">
        <v>414</v>
      </c>
      <c r="D121" t="s">
        <v>415</v>
      </c>
      <c r="E121">
        <v>20602000665</v>
      </c>
      <c r="F121" t="s">
        <v>105</v>
      </c>
      <c r="G121" t="s">
        <v>385</v>
      </c>
      <c r="H121" t="s">
        <v>385</v>
      </c>
      <c r="I121" t="s">
        <v>97</v>
      </c>
    </row>
    <row r="122" spans="1:9" x14ac:dyDescent="0.25">
      <c r="A122">
        <v>121</v>
      </c>
      <c r="B122" s="22">
        <v>1447</v>
      </c>
      <c r="C122" t="s">
        <v>416</v>
      </c>
      <c r="D122" t="s">
        <v>417</v>
      </c>
      <c r="E122">
        <v>20601411157</v>
      </c>
      <c r="F122" t="s">
        <v>105</v>
      </c>
      <c r="G122" t="s">
        <v>385</v>
      </c>
      <c r="H122" t="s">
        <v>385</v>
      </c>
      <c r="I122" t="s">
        <v>97</v>
      </c>
    </row>
    <row r="123" spans="1:9" x14ac:dyDescent="0.25">
      <c r="A123">
        <v>122</v>
      </c>
      <c r="B123" s="22">
        <v>1465</v>
      </c>
      <c r="C123" t="s">
        <v>418</v>
      </c>
      <c r="D123" t="s">
        <v>419</v>
      </c>
      <c r="E123">
        <v>20600148037</v>
      </c>
      <c r="F123" t="s">
        <v>78</v>
      </c>
      <c r="G123" t="s">
        <v>78</v>
      </c>
      <c r="H123" t="s">
        <v>138</v>
      </c>
      <c r="I123" t="s">
        <v>97</v>
      </c>
    </row>
    <row r="124" spans="1:9" x14ac:dyDescent="0.25">
      <c r="A124">
        <v>123</v>
      </c>
      <c r="B124" s="22">
        <v>1489</v>
      </c>
      <c r="C124" t="s">
        <v>420</v>
      </c>
      <c r="D124" t="s">
        <v>421</v>
      </c>
      <c r="E124">
        <v>20504183328</v>
      </c>
      <c r="F124" t="s">
        <v>78</v>
      </c>
      <c r="G124" t="s">
        <v>78</v>
      </c>
      <c r="H124" t="s">
        <v>422</v>
      </c>
      <c r="I124" t="s">
        <v>112</v>
      </c>
    </row>
    <row r="125" spans="1:9" x14ac:dyDescent="0.25">
      <c r="A125">
        <v>124</v>
      </c>
      <c r="B125" s="22">
        <v>1502</v>
      </c>
      <c r="C125" t="s">
        <v>423</v>
      </c>
      <c r="D125" t="s">
        <v>424</v>
      </c>
      <c r="E125">
        <v>20600851536</v>
      </c>
      <c r="F125" t="s">
        <v>68</v>
      </c>
      <c r="G125" t="s">
        <v>69</v>
      </c>
      <c r="H125" t="s">
        <v>68</v>
      </c>
      <c r="I125" t="s">
        <v>142</v>
      </c>
    </row>
    <row r="126" spans="1:9" x14ac:dyDescent="0.25">
      <c r="A126">
        <v>125</v>
      </c>
      <c r="B126" s="22">
        <v>1505</v>
      </c>
      <c r="C126" t="s">
        <v>425</v>
      </c>
      <c r="D126" t="s">
        <v>426</v>
      </c>
      <c r="E126">
        <v>20147007818</v>
      </c>
      <c r="F126" t="s">
        <v>145</v>
      </c>
      <c r="G126" t="s">
        <v>427</v>
      </c>
      <c r="H126" t="s">
        <v>427</v>
      </c>
      <c r="I126" t="s">
        <v>102</v>
      </c>
    </row>
    <row r="127" spans="1:9" x14ac:dyDescent="0.25">
      <c r="A127">
        <v>126</v>
      </c>
      <c r="B127" s="22">
        <v>1508</v>
      </c>
      <c r="C127" t="s">
        <v>428</v>
      </c>
      <c r="D127" t="s">
        <v>429</v>
      </c>
      <c r="E127">
        <v>20600750551</v>
      </c>
      <c r="F127" t="s">
        <v>105</v>
      </c>
      <c r="G127" t="s">
        <v>220</v>
      </c>
      <c r="H127" t="s">
        <v>221</v>
      </c>
      <c r="I127" t="s">
        <v>97</v>
      </c>
    </row>
    <row r="128" spans="1:9" x14ac:dyDescent="0.25">
      <c r="A128">
        <v>127</v>
      </c>
      <c r="B128" s="22">
        <v>1509</v>
      </c>
      <c r="C128" t="s">
        <v>430</v>
      </c>
      <c r="D128" t="s">
        <v>431</v>
      </c>
      <c r="E128">
        <v>20486662647</v>
      </c>
      <c r="F128" t="s">
        <v>204</v>
      </c>
      <c r="G128" t="s">
        <v>291</v>
      </c>
      <c r="H128" t="s">
        <v>291</v>
      </c>
      <c r="I128" t="s">
        <v>75</v>
      </c>
    </row>
    <row r="129" spans="1:9" x14ac:dyDescent="0.25">
      <c r="A129">
        <v>128</v>
      </c>
      <c r="B129" s="22">
        <v>1518</v>
      </c>
      <c r="C129" t="s">
        <v>432</v>
      </c>
      <c r="D129" t="s">
        <v>433</v>
      </c>
      <c r="E129">
        <v>20447873266</v>
      </c>
      <c r="F129" t="s">
        <v>174</v>
      </c>
      <c r="G129" t="s">
        <v>434</v>
      </c>
      <c r="H129" t="s">
        <v>435</v>
      </c>
      <c r="I129" t="s">
        <v>75</v>
      </c>
    </row>
    <row r="130" spans="1:9" x14ac:dyDescent="0.25">
      <c r="A130">
        <v>129</v>
      </c>
      <c r="B130" s="22">
        <v>1527</v>
      </c>
      <c r="C130" t="s">
        <v>436</v>
      </c>
      <c r="D130" t="s">
        <v>437</v>
      </c>
      <c r="E130">
        <v>20452815827</v>
      </c>
      <c r="F130" t="s">
        <v>68</v>
      </c>
      <c r="G130" t="s">
        <v>69</v>
      </c>
      <c r="H130" t="s">
        <v>68</v>
      </c>
      <c r="I130" t="s">
        <v>97</v>
      </c>
    </row>
    <row r="131" spans="1:9" x14ac:dyDescent="0.25">
      <c r="A131">
        <v>130</v>
      </c>
      <c r="B131" s="22">
        <v>1534</v>
      </c>
      <c r="C131" t="s">
        <v>438</v>
      </c>
      <c r="D131" t="s">
        <v>439</v>
      </c>
      <c r="E131">
        <v>20100859263</v>
      </c>
      <c r="F131" t="s">
        <v>78</v>
      </c>
      <c r="G131" t="s">
        <v>78</v>
      </c>
      <c r="H131" t="s">
        <v>255</v>
      </c>
      <c r="I131" t="s">
        <v>102</v>
      </c>
    </row>
    <row r="132" spans="1:9" x14ac:dyDescent="0.25">
      <c r="A132">
        <v>131</v>
      </c>
      <c r="B132" s="22">
        <v>1535</v>
      </c>
      <c r="C132" t="s">
        <v>440</v>
      </c>
      <c r="D132" t="s">
        <v>441</v>
      </c>
      <c r="E132">
        <v>20494238617</v>
      </c>
      <c r="F132" t="s">
        <v>68</v>
      </c>
      <c r="G132" t="s">
        <v>442</v>
      </c>
      <c r="H132" t="s">
        <v>442</v>
      </c>
      <c r="I132" t="s">
        <v>142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B4:D51"/>
  <sheetViews>
    <sheetView zoomScale="90" zoomScaleNormal="90" workbookViewId="0">
      <selection activeCell="J8" sqref="J8"/>
    </sheetView>
  </sheetViews>
  <sheetFormatPr baseColWidth="10" defaultRowHeight="16.5" x14ac:dyDescent="0.3"/>
  <cols>
    <col min="1" max="1" width="6.85546875" style="7" customWidth="1"/>
    <col min="2" max="2" width="6.5703125" style="7" customWidth="1"/>
    <col min="3" max="3" width="69.140625" style="7" customWidth="1"/>
    <col min="4" max="4" width="20.140625" style="7" customWidth="1"/>
    <col min="5" max="251" width="8.85546875" style="7" customWidth="1"/>
    <col min="252" max="252" width="6.85546875" style="7" customWidth="1"/>
    <col min="253" max="253" width="6.5703125" style="7" customWidth="1"/>
    <col min="254" max="254" width="61.5703125" style="7" customWidth="1"/>
    <col min="255" max="255" width="17.140625" style="7" customWidth="1"/>
    <col min="256" max="507" width="8.85546875" style="7" customWidth="1"/>
    <col min="508" max="508" width="6.85546875" style="7" customWidth="1"/>
    <col min="509" max="509" width="6.5703125" style="7" customWidth="1"/>
    <col min="510" max="510" width="61.5703125" style="7" customWidth="1"/>
    <col min="511" max="511" width="17.140625" style="7" customWidth="1"/>
    <col min="512" max="763" width="8.85546875" style="7" customWidth="1"/>
    <col min="764" max="764" width="6.85546875" style="7" customWidth="1"/>
    <col min="765" max="765" width="6.5703125" style="7" customWidth="1"/>
    <col min="766" max="766" width="61.5703125" style="7" customWidth="1"/>
    <col min="767" max="767" width="17.140625" style="7" customWidth="1"/>
    <col min="768" max="1019" width="8.85546875" style="7" customWidth="1"/>
    <col min="1020" max="1020" width="6.85546875" style="7" customWidth="1"/>
    <col min="1021" max="1021" width="6.5703125" style="7" customWidth="1"/>
    <col min="1022" max="1022" width="61.5703125" style="7" customWidth="1"/>
    <col min="1023" max="1023" width="17.140625" style="7" customWidth="1"/>
    <col min="1024" max="1275" width="8.85546875" style="7" customWidth="1"/>
    <col min="1276" max="1276" width="6.85546875" style="7" customWidth="1"/>
    <col min="1277" max="1277" width="6.5703125" style="7" customWidth="1"/>
    <col min="1278" max="1278" width="61.5703125" style="7" customWidth="1"/>
    <col min="1279" max="1279" width="17.140625" style="7" customWidth="1"/>
    <col min="1280" max="1531" width="8.85546875" style="7" customWidth="1"/>
    <col min="1532" max="1532" width="6.85546875" style="7" customWidth="1"/>
    <col min="1533" max="1533" width="6.5703125" style="7" customWidth="1"/>
    <col min="1534" max="1534" width="61.5703125" style="7" customWidth="1"/>
    <col min="1535" max="1535" width="17.140625" style="7" customWidth="1"/>
    <col min="1536" max="1787" width="8.85546875" style="7" customWidth="1"/>
    <col min="1788" max="1788" width="6.85546875" style="7" customWidth="1"/>
    <col min="1789" max="1789" width="6.5703125" style="7" customWidth="1"/>
    <col min="1790" max="1790" width="61.5703125" style="7" customWidth="1"/>
    <col min="1791" max="1791" width="17.140625" style="7" customWidth="1"/>
    <col min="1792" max="2043" width="8.85546875" style="7" customWidth="1"/>
    <col min="2044" max="2044" width="6.85546875" style="7" customWidth="1"/>
    <col min="2045" max="2045" width="6.5703125" style="7" customWidth="1"/>
    <col min="2046" max="2046" width="61.5703125" style="7" customWidth="1"/>
    <col min="2047" max="2047" width="17.140625" style="7" customWidth="1"/>
    <col min="2048" max="2299" width="8.85546875" style="7" customWidth="1"/>
    <col min="2300" max="2300" width="6.85546875" style="7" customWidth="1"/>
    <col min="2301" max="2301" width="6.5703125" style="7" customWidth="1"/>
    <col min="2302" max="2302" width="61.5703125" style="7" customWidth="1"/>
    <col min="2303" max="2303" width="17.140625" style="7" customWidth="1"/>
    <col min="2304" max="2555" width="8.85546875" style="7" customWidth="1"/>
    <col min="2556" max="2556" width="6.85546875" style="7" customWidth="1"/>
    <col min="2557" max="2557" width="6.5703125" style="7" customWidth="1"/>
    <col min="2558" max="2558" width="61.5703125" style="7" customWidth="1"/>
    <col min="2559" max="2559" width="17.140625" style="7" customWidth="1"/>
    <col min="2560" max="2811" width="8.85546875" style="7" customWidth="1"/>
    <col min="2812" max="2812" width="6.85546875" style="7" customWidth="1"/>
    <col min="2813" max="2813" width="6.5703125" style="7" customWidth="1"/>
    <col min="2814" max="2814" width="61.5703125" style="7" customWidth="1"/>
    <col min="2815" max="2815" width="17.140625" style="7" customWidth="1"/>
    <col min="2816" max="3067" width="8.85546875" style="7" customWidth="1"/>
    <col min="3068" max="3068" width="6.85546875" style="7" customWidth="1"/>
    <col min="3069" max="3069" width="6.5703125" style="7" customWidth="1"/>
    <col min="3070" max="3070" width="61.5703125" style="7" customWidth="1"/>
    <col min="3071" max="3071" width="17.140625" style="7" customWidth="1"/>
    <col min="3072" max="3323" width="8.85546875" style="7" customWidth="1"/>
    <col min="3324" max="3324" width="6.85546875" style="7" customWidth="1"/>
    <col min="3325" max="3325" width="6.5703125" style="7" customWidth="1"/>
    <col min="3326" max="3326" width="61.5703125" style="7" customWidth="1"/>
    <col min="3327" max="3327" width="17.140625" style="7" customWidth="1"/>
    <col min="3328" max="3579" width="8.85546875" style="7" customWidth="1"/>
    <col min="3580" max="3580" width="6.85546875" style="7" customWidth="1"/>
    <col min="3581" max="3581" width="6.5703125" style="7" customWidth="1"/>
    <col min="3582" max="3582" width="61.5703125" style="7" customWidth="1"/>
    <col min="3583" max="3583" width="17.140625" style="7" customWidth="1"/>
    <col min="3584" max="3835" width="8.85546875" style="7" customWidth="1"/>
    <col min="3836" max="3836" width="6.85546875" style="7" customWidth="1"/>
    <col min="3837" max="3837" width="6.5703125" style="7" customWidth="1"/>
    <col min="3838" max="3838" width="61.5703125" style="7" customWidth="1"/>
    <col min="3839" max="3839" width="17.140625" style="7" customWidth="1"/>
    <col min="3840" max="4091" width="8.85546875" style="7" customWidth="1"/>
    <col min="4092" max="4092" width="6.85546875" style="7" customWidth="1"/>
    <col min="4093" max="4093" width="6.5703125" style="7" customWidth="1"/>
    <col min="4094" max="4094" width="61.5703125" style="7" customWidth="1"/>
    <col min="4095" max="4095" width="17.140625" style="7" customWidth="1"/>
    <col min="4096" max="4347" width="8.85546875" style="7" customWidth="1"/>
    <col min="4348" max="4348" width="6.85546875" style="7" customWidth="1"/>
    <col min="4349" max="4349" width="6.5703125" style="7" customWidth="1"/>
    <col min="4350" max="4350" width="61.5703125" style="7" customWidth="1"/>
    <col min="4351" max="4351" width="17.140625" style="7" customWidth="1"/>
    <col min="4352" max="4603" width="8.85546875" style="7" customWidth="1"/>
    <col min="4604" max="4604" width="6.85546875" style="7" customWidth="1"/>
    <col min="4605" max="4605" width="6.5703125" style="7" customWidth="1"/>
    <col min="4606" max="4606" width="61.5703125" style="7" customWidth="1"/>
    <col min="4607" max="4607" width="17.140625" style="7" customWidth="1"/>
    <col min="4608" max="4859" width="8.85546875" style="7" customWidth="1"/>
    <col min="4860" max="4860" width="6.85546875" style="7" customWidth="1"/>
    <col min="4861" max="4861" width="6.5703125" style="7" customWidth="1"/>
    <col min="4862" max="4862" width="61.5703125" style="7" customWidth="1"/>
    <col min="4863" max="4863" width="17.140625" style="7" customWidth="1"/>
    <col min="4864" max="5115" width="8.85546875" style="7" customWidth="1"/>
    <col min="5116" max="5116" width="6.85546875" style="7" customWidth="1"/>
    <col min="5117" max="5117" width="6.5703125" style="7" customWidth="1"/>
    <col min="5118" max="5118" width="61.5703125" style="7" customWidth="1"/>
    <col min="5119" max="5119" width="17.140625" style="7" customWidth="1"/>
    <col min="5120" max="5371" width="8.85546875" style="7" customWidth="1"/>
    <col min="5372" max="5372" width="6.85546875" style="7" customWidth="1"/>
    <col min="5373" max="5373" width="6.5703125" style="7" customWidth="1"/>
    <col min="5374" max="5374" width="61.5703125" style="7" customWidth="1"/>
    <col min="5375" max="5375" width="17.140625" style="7" customWidth="1"/>
    <col min="5376" max="5627" width="8.85546875" style="7" customWidth="1"/>
    <col min="5628" max="5628" width="6.85546875" style="7" customWidth="1"/>
    <col min="5629" max="5629" width="6.5703125" style="7" customWidth="1"/>
    <col min="5630" max="5630" width="61.5703125" style="7" customWidth="1"/>
    <col min="5631" max="5631" width="17.140625" style="7" customWidth="1"/>
    <col min="5632" max="5883" width="8.85546875" style="7" customWidth="1"/>
    <col min="5884" max="5884" width="6.85546875" style="7" customWidth="1"/>
    <col min="5885" max="5885" width="6.5703125" style="7" customWidth="1"/>
    <col min="5886" max="5886" width="61.5703125" style="7" customWidth="1"/>
    <col min="5887" max="5887" width="17.140625" style="7" customWidth="1"/>
    <col min="5888" max="6139" width="8.85546875" style="7" customWidth="1"/>
    <col min="6140" max="6140" width="6.85546875" style="7" customWidth="1"/>
    <col min="6141" max="6141" width="6.5703125" style="7" customWidth="1"/>
    <col min="6142" max="6142" width="61.5703125" style="7" customWidth="1"/>
    <col min="6143" max="6143" width="17.140625" style="7" customWidth="1"/>
    <col min="6144" max="6395" width="8.85546875" style="7" customWidth="1"/>
    <col min="6396" max="6396" width="6.85546875" style="7" customWidth="1"/>
    <col min="6397" max="6397" width="6.5703125" style="7" customWidth="1"/>
    <col min="6398" max="6398" width="61.5703125" style="7" customWidth="1"/>
    <col min="6399" max="6399" width="17.140625" style="7" customWidth="1"/>
    <col min="6400" max="6651" width="8.85546875" style="7" customWidth="1"/>
    <col min="6652" max="6652" width="6.85546875" style="7" customWidth="1"/>
    <col min="6653" max="6653" width="6.5703125" style="7" customWidth="1"/>
    <col min="6654" max="6654" width="61.5703125" style="7" customWidth="1"/>
    <col min="6655" max="6655" width="17.140625" style="7" customWidth="1"/>
    <col min="6656" max="6907" width="8.85546875" style="7" customWidth="1"/>
    <col min="6908" max="6908" width="6.85546875" style="7" customWidth="1"/>
    <col min="6909" max="6909" width="6.5703125" style="7" customWidth="1"/>
    <col min="6910" max="6910" width="61.5703125" style="7" customWidth="1"/>
    <col min="6911" max="6911" width="17.140625" style="7" customWidth="1"/>
    <col min="6912" max="7163" width="8.85546875" style="7" customWidth="1"/>
    <col min="7164" max="7164" width="6.85546875" style="7" customWidth="1"/>
    <col min="7165" max="7165" width="6.5703125" style="7" customWidth="1"/>
    <col min="7166" max="7166" width="61.5703125" style="7" customWidth="1"/>
    <col min="7167" max="7167" width="17.140625" style="7" customWidth="1"/>
    <col min="7168" max="7419" width="8.85546875" style="7" customWidth="1"/>
    <col min="7420" max="7420" width="6.85546875" style="7" customWidth="1"/>
    <col min="7421" max="7421" width="6.5703125" style="7" customWidth="1"/>
    <col min="7422" max="7422" width="61.5703125" style="7" customWidth="1"/>
    <col min="7423" max="7423" width="17.140625" style="7" customWidth="1"/>
    <col min="7424" max="7675" width="8.85546875" style="7" customWidth="1"/>
    <col min="7676" max="7676" width="6.85546875" style="7" customWidth="1"/>
    <col min="7677" max="7677" width="6.5703125" style="7" customWidth="1"/>
    <col min="7678" max="7678" width="61.5703125" style="7" customWidth="1"/>
    <col min="7679" max="7679" width="17.140625" style="7" customWidth="1"/>
    <col min="7680" max="7931" width="8.85546875" style="7" customWidth="1"/>
    <col min="7932" max="7932" width="6.85546875" style="7" customWidth="1"/>
    <col min="7933" max="7933" width="6.5703125" style="7" customWidth="1"/>
    <col min="7934" max="7934" width="61.5703125" style="7" customWidth="1"/>
    <col min="7935" max="7935" width="17.140625" style="7" customWidth="1"/>
    <col min="7936" max="8187" width="8.85546875" style="7" customWidth="1"/>
    <col min="8188" max="8188" width="6.85546875" style="7" customWidth="1"/>
    <col min="8189" max="8189" width="6.5703125" style="7" customWidth="1"/>
    <col min="8190" max="8190" width="61.5703125" style="7" customWidth="1"/>
    <col min="8191" max="8191" width="17.140625" style="7" customWidth="1"/>
    <col min="8192" max="8443" width="8.85546875" style="7" customWidth="1"/>
    <col min="8444" max="8444" width="6.85546875" style="7" customWidth="1"/>
    <col min="8445" max="8445" width="6.5703125" style="7" customWidth="1"/>
    <col min="8446" max="8446" width="61.5703125" style="7" customWidth="1"/>
    <col min="8447" max="8447" width="17.140625" style="7" customWidth="1"/>
    <col min="8448" max="8699" width="8.85546875" style="7" customWidth="1"/>
    <col min="8700" max="8700" width="6.85546875" style="7" customWidth="1"/>
    <col min="8701" max="8701" width="6.5703125" style="7" customWidth="1"/>
    <col min="8702" max="8702" width="61.5703125" style="7" customWidth="1"/>
    <col min="8703" max="8703" width="17.140625" style="7" customWidth="1"/>
    <col min="8704" max="8955" width="8.85546875" style="7" customWidth="1"/>
    <col min="8956" max="8956" width="6.85546875" style="7" customWidth="1"/>
    <col min="8957" max="8957" width="6.5703125" style="7" customWidth="1"/>
    <col min="8958" max="8958" width="61.5703125" style="7" customWidth="1"/>
    <col min="8959" max="8959" width="17.140625" style="7" customWidth="1"/>
    <col min="8960" max="9211" width="8.85546875" style="7" customWidth="1"/>
    <col min="9212" max="9212" width="6.85546875" style="7" customWidth="1"/>
    <col min="9213" max="9213" width="6.5703125" style="7" customWidth="1"/>
    <col min="9214" max="9214" width="61.5703125" style="7" customWidth="1"/>
    <col min="9215" max="9215" width="17.140625" style="7" customWidth="1"/>
    <col min="9216" max="9467" width="8.85546875" style="7" customWidth="1"/>
    <col min="9468" max="9468" width="6.85546875" style="7" customWidth="1"/>
    <col min="9469" max="9469" width="6.5703125" style="7" customWidth="1"/>
    <col min="9470" max="9470" width="61.5703125" style="7" customWidth="1"/>
    <col min="9471" max="9471" width="17.140625" style="7" customWidth="1"/>
    <col min="9472" max="9723" width="8.85546875" style="7" customWidth="1"/>
    <col min="9724" max="9724" width="6.85546875" style="7" customWidth="1"/>
    <col min="9725" max="9725" width="6.5703125" style="7" customWidth="1"/>
    <col min="9726" max="9726" width="61.5703125" style="7" customWidth="1"/>
    <col min="9727" max="9727" width="17.140625" style="7" customWidth="1"/>
    <col min="9728" max="9979" width="8.85546875" style="7" customWidth="1"/>
    <col min="9980" max="9980" width="6.85546875" style="7" customWidth="1"/>
    <col min="9981" max="9981" width="6.5703125" style="7" customWidth="1"/>
    <col min="9982" max="9982" width="61.5703125" style="7" customWidth="1"/>
    <col min="9983" max="9983" width="17.140625" style="7" customWidth="1"/>
    <col min="9984" max="10235" width="8.85546875" style="7" customWidth="1"/>
    <col min="10236" max="10236" width="6.85546875" style="7" customWidth="1"/>
    <col min="10237" max="10237" width="6.5703125" style="7" customWidth="1"/>
    <col min="10238" max="10238" width="61.5703125" style="7" customWidth="1"/>
    <col min="10239" max="10239" width="17.140625" style="7" customWidth="1"/>
    <col min="10240" max="10491" width="8.85546875" style="7" customWidth="1"/>
    <col min="10492" max="10492" width="6.85546875" style="7" customWidth="1"/>
    <col min="10493" max="10493" width="6.5703125" style="7" customWidth="1"/>
    <col min="10494" max="10494" width="61.5703125" style="7" customWidth="1"/>
    <col min="10495" max="10495" width="17.140625" style="7" customWidth="1"/>
    <col min="10496" max="10747" width="8.85546875" style="7" customWidth="1"/>
    <col min="10748" max="10748" width="6.85546875" style="7" customWidth="1"/>
    <col min="10749" max="10749" width="6.5703125" style="7" customWidth="1"/>
    <col min="10750" max="10750" width="61.5703125" style="7" customWidth="1"/>
    <col min="10751" max="10751" width="17.140625" style="7" customWidth="1"/>
    <col min="10752" max="11003" width="8.85546875" style="7" customWidth="1"/>
    <col min="11004" max="11004" width="6.85546875" style="7" customWidth="1"/>
    <col min="11005" max="11005" width="6.5703125" style="7" customWidth="1"/>
    <col min="11006" max="11006" width="61.5703125" style="7" customWidth="1"/>
    <col min="11007" max="11007" width="17.140625" style="7" customWidth="1"/>
    <col min="11008" max="11259" width="8.85546875" style="7" customWidth="1"/>
    <col min="11260" max="11260" width="6.85546875" style="7" customWidth="1"/>
    <col min="11261" max="11261" width="6.5703125" style="7" customWidth="1"/>
    <col min="11262" max="11262" width="61.5703125" style="7" customWidth="1"/>
    <col min="11263" max="11263" width="17.140625" style="7" customWidth="1"/>
    <col min="11264" max="11515" width="8.85546875" style="7" customWidth="1"/>
    <col min="11516" max="11516" width="6.85546875" style="7" customWidth="1"/>
    <col min="11517" max="11517" width="6.5703125" style="7" customWidth="1"/>
    <col min="11518" max="11518" width="61.5703125" style="7" customWidth="1"/>
    <col min="11519" max="11519" width="17.140625" style="7" customWidth="1"/>
    <col min="11520" max="11771" width="8.85546875" style="7" customWidth="1"/>
    <col min="11772" max="11772" width="6.85546875" style="7" customWidth="1"/>
    <col min="11773" max="11773" width="6.5703125" style="7" customWidth="1"/>
    <col min="11774" max="11774" width="61.5703125" style="7" customWidth="1"/>
    <col min="11775" max="11775" width="17.140625" style="7" customWidth="1"/>
    <col min="11776" max="12027" width="8.85546875" style="7" customWidth="1"/>
    <col min="12028" max="12028" width="6.85546875" style="7" customWidth="1"/>
    <col min="12029" max="12029" width="6.5703125" style="7" customWidth="1"/>
    <col min="12030" max="12030" width="61.5703125" style="7" customWidth="1"/>
    <col min="12031" max="12031" width="17.140625" style="7" customWidth="1"/>
    <col min="12032" max="12283" width="8.85546875" style="7" customWidth="1"/>
    <col min="12284" max="12284" width="6.85546875" style="7" customWidth="1"/>
    <col min="12285" max="12285" width="6.5703125" style="7" customWidth="1"/>
    <col min="12286" max="12286" width="61.5703125" style="7" customWidth="1"/>
    <col min="12287" max="12287" width="17.140625" style="7" customWidth="1"/>
    <col min="12288" max="12539" width="8.85546875" style="7" customWidth="1"/>
    <col min="12540" max="12540" width="6.85546875" style="7" customWidth="1"/>
    <col min="12541" max="12541" width="6.5703125" style="7" customWidth="1"/>
    <col min="12542" max="12542" width="61.5703125" style="7" customWidth="1"/>
    <col min="12543" max="12543" width="17.140625" style="7" customWidth="1"/>
    <col min="12544" max="12795" width="8.85546875" style="7" customWidth="1"/>
    <col min="12796" max="12796" width="6.85546875" style="7" customWidth="1"/>
    <col min="12797" max="12797" width="6.5703125" style="7" customWidth="1"/>
    <col min="12798" max="12798" width="61.5703125" style="7" customWidth="1"/>
    <col min="12799" max="12799" width="17.140625" style="7" customWidth="1"/>
    <col min="12800" max="13051" width="8.85546875" style="7" customWidth="1"/>
    <col min="13052" max="13052" width="6.85546875" style="7" customWidth="1"/>
    <col min="13053" max="13053" width="6.5703125" style="7" customWidth="1"/>
    <col min="13054" max="13054" width="61.5703125" style="7" customWidth="1"/>
    <col min="13055" max="13055" width="17.140625" style="7" customWidth="1"/>
    <col min="13056" max="13307" width="8.85546875" style="7" customWidth="1"/>
    <col min="13308" max="13308" width="6.85546875" style="7" customWidth="1"/>
    <col min="13309" max="13309" width="6.5703125" style="7" customWidth="1"/>
    <col min="13310" max="13310" width="61.5703125" style="7" customWidth="1"/>
    <col min="13311" max="13311" width="17.140625" style="7" customWidth="1"/>
    <col min="13312" max="13563" width="8.85546875" style="7" customWidth="1"/>
    <col min="13564" max="13564" width="6.85546875" style="7" customWidth="1"/>
    <col min="13565" max="13565" width="6.5703125" style="7" customWidth="1"/>
    <col min="13566" max="13566" width="61.5703125" style="7" customWidth="1"/>
    <col min="13567" max="13567" width="17.140625" style="7" customWidth="1"/>
    <col min="13568" max="13819" width="8.85546875" style="7" customWidth="1"/>
    <col min="13820" max="13820" width="6.85546875" style="7" customWidth="1"/>
    <col min="13821" max="13821" width="6.5703125" style="7" customWidth="1"/>
    <col min="13822" max="13822" width="61.5703125" style="7" customWidth="1"/>
    <col min="13823" max="13823" width="17.140625" style="7" customWidth="1"/>
    <col min="13824" max="14075" width="8.85546875" style="7" customWidth="1"/>
    <col min="14076" max="14076" width="6.85546875" style="7" customWidth="1"/>
    <col min="14077" max="14077" width="6.5703125" style="7" customWidth="1"/>
    <col min="14078" max="14078" width="61.5703125" style="7" customWidth="1"/>
    <col min="14079" max="14079" width="17.140625" style="7" customWidth="1"/>
    <col min="14080" max="14331" width="8.85546875" style="7" customWidth="1"/>
    <col min="14332" max="14332" width="6.85546875" style="7" customWidth="1"/>
    <col min="14333" max="14333" width="6.5703125" style="7" customWidth="1"/>
    <col min="14334" max="14334" width="61.5703125" style="7" customWidth="1"/>
    <col min="14335" max="14335" width="17.140625" style="7" customWidth="1"/>
    <col min="14336" max="14587" width="8.85546875" style="7" customWidth="1"/>
    <col min="14588" max="14588" width="6.85546875" style="7" customWidth="1"/>
    <col min="14589" max="14589" width="6.5703125" style="7" customWidth="1"/>
    <col min="14590" max="14590" width="61.5703125" style="7" customWidth="1"/>
    <col min="14591" max="14591" width="17.140625" style="7" customWidth="1"/>
    <col min="14592" max="14843" width="8.85546875" style="7" customWidth="1"/>
    <col min="14844" max="14844" width="6.85546875" style="7" customWidth="1"/>
    <col min="14845" max="14845" width="6.5703125" style="7" customWidth="1"/>
    <col min="14846" max="14846" width="61.5703125" style="7" customWidth="1"/>
    <col min="14847" max="14847" width="17.140625" style="7" customWidth="1"/>
    <col min="14848" max="15099" width="8.85546875" style="7" customWidth="1"/>
    <col min="15100" max="15100" width="6.85546875" style="7" customWidth="1"/>
    <col min="15101" max="15101" width="6.5703125" style="7" customWidth="1"/>
    <col min="15102" max="15102" width="61.5703125" style="7" customWidth="1"/>
    <col min="15103" max="15103" width="17.140625" style="7" customWidth="1"/>
    <col min="15104" max="15355" width="8.85546875" style="7" customWidth="1"/>
    <col min="15356" max="15356" width="6.85546875" style="7" customWidth="1"/>
    <col min="15357" max="15357" width="6.5703125" style="7" customWidth="1"/>
    <col min="15358" max="15358" width="61.5703125" style="7" customWidth="1"/>
    <col min="15359" max="15359" width="17.140625" style="7" customWidth="1"/>
    <col min="15360" max="15611" width="8.85546875" style="7" customWidth="1"/>
    <col min="15612" max="15612" width="6.85546875" style="7" customWidth="1"/>
    <col min="15613" max="15613" width="6.5703125" style="7" customWidth="1"/>
    <col min="15614" max="15614" width="61.5703125" style="7" customWidth="1"/>
    <col min="15615" max="15615" width="17.140625" style="7" customWidth="1"/>
    <col min="15616" max="15867" width="8.85546875" style="7" customWidth="1"/>
    <col min="15868" max="15868" width="6.85546875" style="7" customWidth="1"/>
    <col min="15869" max="15869" width="6.5703125" style="7" customWidth="1"/>
    <col min="15870" max="15870" width="61.5703125" style="7" customWidth="1"/>
    <col min="15871" max="15871" width="17.140625" style="7" customWidth="1"/>
    <col min="15872" max="16123" width="8.85546875" style="7" customWidth="1"/>
    <col min="16124" max="16124" width="6.85546875" style="7" customWidth="1"/>
    <col min="16125" max="16125" width="6.5703125" style="7" customWidth="1"/>
    <col min="16126" max="16126" width="61.5703125" style="7" customWidth="1"/>
    <col min="16127" max="16127" width="17.140625" style="7" customWidth="1"/>
    <col min="16128" max="16384" width="8.85546875" style="7" customWidth="1"/>
  </cols>
  <sheetData>
    <row r="4" spans="2:4" ht="15.75" customHeight="1" x14ac:dyDescent="0.3">
      <c r="B4" s="130" t="s">
        <v>44</v>
      </c>
      <c r="C4" s="130"/>
      <c r="D4" s="130"/>
    </row>
    <row r="5" spans="2:4" ht="15.75" customHeight="1" x14ac:dyDescent="0.3">
      <c r="B5" s="131" t="s">
        <v>34</v>
      </c>
      <c r="C5" s="131"/>
      <c r="D5" s="131"/>
    </row>
    <row r="6" spans="2:4" ht="15.75" customHeight="1" x14ac:dyDescent="0.3">
      <c r="B6" s="130" t="s">
        <v>43</v>
      </c>
      <c r="C6" s="130"/>
      <c r="D6" s="130"/>
    </row>
    <row r="7" spans="2:4" ht="15.75" customHeight="1" x14ac:dyDescent="0.3">
      <c r="B7" s="8"/>
      <c r="C7" s="8"/>
      <c r="D7" s="8"/>
    </row>
    <row r="8" spans="2:4" ht="15.75" customHeight="1" x14ac:dyDescent="0.3">
      <c r="B8" s="13" t="s">
        <v>33</v>
      </c>
      <c r="C8" s="13"/>
      <c r="D8" s="20"/>
    </row>
    <row r="9" spans="2:4" ht="15.75" customHeight="1" x14ac:dyDescent="0.3">
      <c r="B9" s="8"/>
      <c r="C9" s="8"/>
      <c r="D9" s="8"/>
    </row>
    <row r="10" spans="2:4" ht="22.7" customHeight="1" x14ac:dyDescent="0.3">
      <c r="B10" s="15" t="s">
        <v>6</v>
      </c>
      <c r="C10" s="18" t="s">
        <v>7</v>
      </c>
      <c r="D10" s="15" t="s">
        <v>30</v>
      </c>
    </row>
    <row r="11" spans="2:4" ht="14.1" customHeight="1" x14ac:dyDescent="0.3">
      <c r="B11" s="9">
        <v>100</v>
      </c>
      <c r="C11" s="10" t="s">
        <v>8</v>
      </c>
      <c r="D11" s="11"/>
    </row>
    <row r="12" spans="2:4" ht="14.25" customHeight="1" x14ac:dyDescent="0.3">
      <c r="B12" s="9">
        <v>200</v>
      </c>
      <c r="C12" s="10" t="s">
        <v>9</v>
      </c>
      <c r="D12" s="16"/>
    </row>
    <row r="13" spans="2:4" ht="14.25" customHeight="1" x14ac:dyDescent="0.3">
      <c r="B13" s="9">
        <v>300</v>
      </c>
      <c r="C13" s="12" t="s">
        <v>10</v>
      </c>
      <c r="D13" s="16"/>
    </row>
    <row r="14" spans="2:4" ht="14.25" customHeight="1" x14ac:dyDescent="0.3">
      <c r="B14" s="9">
        <v>400</v>
      </c>
      <c r="C14" s="12" t="s">
        <v>11</v>
      </c>
      <c r="D14" s="16"/>
    </row>
    <row r="15" spans="2:4" ht="14.25" customHeight="1" x14ac:dyDescent="0.3">
      <c r="B15" s="9">
        <v>500</v>
      </c>
      <c r="C15" s="12" t="s">
        <v>12</v>
      </c>
      <c r="D15" s="16"/>
    </row>
    <row r="16" spans="2:4" ht="14.25" customHeight="1" x14ac:dyDescent="0.3">
      <c r="B16" s="9">
        <v>600</v>
      </c>
      <c r="C16" s="12" t="s">
        <v>13</v>
      </c>
      <c r="D16" s="16"/>
    </row>
    <row r="17" spans="2:4" ht="14.25" customHeight="1" x14ac:dyDescent="0.3">
      <c r="B17" s="9">
        <v>700</v>
      </c>
      <c r="C17" s="12" t="s">
        <v>14</v>
      </c>
      <c r="D17" s="16"/>
    </row>
    <row r="18" spans="2:4" ht="14.25" customHeight="1" x14ac:dyDescent="0.3">
      <c r="B18" s="9">
        <v>800</v>
      </c>
      <c r="C18" s="12" t="s">
        <v>15</v>
      </c>
      <c r="D18" s="16"/>
    </row>
    <row r="19" spans="2:4" ht="14.25" customHeight="1" x14ac:dyDescent="0.3">
      <c r="B19" s="9">
        <v>900</v>
      </c>
      <c r="C19" s="10" t="s">
        <v>16</v>
      </c>
      <c r="D19" s="17"/>
    </row>
    <row r="20" spans="2:4" ht="14.25" customHeight="1" x14ac:dyDescent="0.3">
      <c r="B20" s="9">
        <v>1000</v>
      </c>
      <c r="C20" s="10" t="s">
        <v>17</v>
      </c>
      <c r="D20" s="16"/>
    </row>
    <row r="21" spans="2:4" ht="14.25" customHeight="1" x14ac:dyDescent="0.3">
      <c r="B21" s="9">
        <v>1100</v>
      </c>
      <c r="C21" s="12" t="s">
        <v>18</v>
      </c>
      <c r="D21" s="16"/>
    </row>
    <row r="22" spans="2:4" ht="14.25" customHeight="1" x14ac:dyDescent="0.3">
      <c r="B22" s="9">
        <v>1200</v>
      </c>
      <c r="C22" s="12" t="s">
        <v>19</v>
      </c>
      <c r="D22" s="16"/>
    </row>
    <row r="23" spans="2:4" ht="14.25" customHeight="1" x14ac:dyDescent="0.3">
      <c r="B23" s="9">
        <v>1300</v>
      </c>
      <c r="C23" s="12" t="s">
        <v>20</v>
      </c>
      <c r="D23" s="16"/>
    </row>
    <row r="24" spans="2:4" ht="14.25" customHeight="1" x14ac:dyDescent="0.3">
      <c r="B24" s="9">
        <v>1400</v>
      </c>
      <c r="C24" s="12" t="s">
        <v>21</v>
      </c>
      <c r="D24" s="16"/>
    </row>
    <row r="25" spans="2:4" ht="14.25" customHeight="1" x14ac:dyDescent="0.3">
      <c r="B25" s="9">
        <v>1500</v>
      </c>
      <c r="C25" s="12" t="s">
        <v>22</v>
      </c>
      <c r="D25" s="16"/>
    </row>
    <row r="26" spans="2:4" ht="14.25" customHeight="1" x14ac:dyDescent="0.3">
      <c r="B26" s="9">
        <v>1600</v>
      </c>
      <c r="C26" s="12" t="s">
        <v>23</v>
      </c>
      <c r="D26" s="16"/>
    </row>
    <row r="27" spans="2:4" ht="14.25" customHeight="1" x14ac:dyDescent="0.3">
      <c r="B27" s="9">
        <v>1700</v>
      </c>
      <c r="C27" s="12" t="s">
        <v>24</v>
      </c>
      <c r="D27" s="16"/>
    </row>
    <row r="28" spans="2:4" ht="14.25" customHeight="1" x14ac:dyDescent="0.3">
      <c r="B28" s="9">
        <v>1800</v>
      </c>
      <c r="C28" s="10" t="s">
        <v>25</v>
      </c>
      <c r="D28" s="17"/>
    </row>
    <row r="29" spans="2:4" ht="14.25" customHeight="1" x14ac:dyDescent="0.3">
      <c r="B29" s="9">
        <v>1900</v>
      </c>
      <c r="C29" s="6" t="s">
        <v>35</v>
      </c>
      <c r="D29" s="19"/>
    </row>
    <row r="30" spans="2:4" ht="14.25" customHeight="1" x14ac:dyDescent="0.3">
      <c r="B30" s="9">
        <v>2000</v>
      </c>
      <c r="C30" s="10" t="s">
        <v>26</v>
      </c>
      <c r="D30" s="16"/>
    </row>
    <row r="31" spans="2:4" ht="14.25" customHeight="1" x14ac:dyDescent="0.3">
      <c r="B31" s="9">
        <v>2100</v>
      </c>
      <c r="C31" s="10" t="s">
        <v>9</v>
      </c>
      <c r="D31" s="16"/>
    </row>
    <row r="32" spans="2:4" ht="14.25" customHeight="1" x14ac:dyDescent="0.3">
      <c r="B32" s="9">
        <v>2200</v>
      </c>
      <c r="C32" s="12" t="s">
        <v>10</v>
      </c>
      <c r="D32" s="16"/>
    </row>
    <row r="33" spans="2:4" ht="14.25" customHeight="1" x14ac:dyDescent="0.3">
      <c r="B33" s="9">
        <v>2300</v>
      </c>
      <c r="C33" s="12" t="s">
        <v>11</v>
      </c>
      <c r="D33" s="16"/>
    </row>
    <row r="34" spans="2:4" ht="14.25" customHeight="1" x14ac:dyDescent="0.3">
      <c r="B34" s="9">
        <v>2400</v>
      </c>
      <c r="C34" s="12" t="s">
        <v>27</v>
      </c>
      <c r="D34" s="16"/>
    </row>
    <row r="35" spans="2:4" ht="14.25" customHeight="1" x14ac:dyDescent="0.3">
      <c r="B35" s="9">
        <v>2500</v>
      </c>
      <c r="C35" s="12" t="s">
        <v>12</v>
      </c>
      <c r="D35" s="16"/>
    </row>
    <row r="36" spans="2:4" ht="14.25" customHeight="1" x14ac:dyDescent="0.3">
      <c r="B36" s="9">
        <v>2600</v>
      </c>
      <c r="C36" s="12" t="s">
        <v>13</v>
      </c>
      <c r="D36" s="16"/>
    </row>
    <row r="37" spans="2:4" ht="14.25" customHeight="1" x14ac:dyDescent="0.3">
      <c r="B37" s="9">
        <v>2700</v>
      </c>
      <c r="C37" s="12" t="s">
        <v>14</v>
      </c>
      <c r="D37" s="16"/>
    </row>
    <row r="38" spans="2:4" ht="14.25" customHeight="1" x14ac:dyDescent="0.3">
      <c r="B38" s="9">
        <v>2800</v>
      </c>
      <c r="C38" s="12" t="s">
        <v>15</v>
      </c>
      <c r="D38" s="16"/>
    </row>
    <row r="39" spans="2:4" ht="14.25" customHeight="1" x14ac:dyDescent="0.3">
      <c r="B39" s="9">
        <v>2900</v>
      </c>
      <c r="C39" s="12" t="s">
        <v>28</v>
      </c>
      <c r="D39" s="16"/>
    </row>
    <row r="40" spans="2:4" ht="14.25" customHeight="1" x14ac:dyDescent="0.3">
      <c r="B40" s="9">
        <v>3000</v>
      </c>
      <c r="C40" s="10" t="s">
        <v>38</v>
      </c>
      <c r="D40" s="17"/>
    </row>
    <row r="41" spans="2:4" ht="14.25" customHeight="1" x14ac:dyDescent="0.3">
      <c r="B41" s="9">
        <v>3100</v>
      </c>
      <c r="C41" s="10" t="s">
        <v>17</v>
      </c>
      <c r="D41" s="16"/>
    </row>
    <row r="42" spans="2:4" ht="14.25" customHeight="1" x14ac:dyDescent="0.3">
      <c r="B42" s="9">
        <v>3200</v>
      </c>
      <c r="C42" s="12" t="s">
        <v>18</v>
      </c>
      <c r="D42" s="16"/>
    </row>
    <row r="43" spans="2:4" ht="14.25" customHeight="1" x14ac:dyDescent="0.3">
      <c r="B43" s="9">
        <v>3300</v>
      </c>
      <c r="C43" s="12" t="s">
        <v>19</v>
      </c>
      <c r="D43" s="16"/>
    </row>
    <row r="44" spans="2:4" ht="14.25" customHeight="1" x14ac:dyDescent="0.3">
      <c r="B44" s="9">
        <v>3400</v>
      </c>
      <c r="C44" s="12" t="s">
        <v>20</v>
      </c>
      <c r="D44" s="16"/>
    </row>
    <row r="45" spans="2:4" ht="14.25" customHeight="1" x14ac:dyDescent="0.3">
      <c r="B45" s="9">
        <v>3500</v>
      </c>
      <c r="C45" s="12" t="s">
        <v>21</v>
      </c>
      <c r="D45" s="16"/>
    </row>
    <row r="46" spans="2:4" ht="14.25" customHeight="1" x14ac:dyDescent="0.3">
      <c r="B46" s="9">
        <v>3600</v>
      </c>
      <c r="C46" s="12" t="s">
        <v>22</v>
      </c>
      <c r="D46" s="16"/>
    </row>
    <row r="47" spans="2:4" ht="14.25" customHeight="1" x14ac:dyDescent="0.3">
      <c r="B47" s="9">
        <v>3700</v>
      </c>
      <c r="C47" s="12" t="s">
        <v>23</v>
      </c>
      <c r="D47" s="16"/>
    </row>
    <row r="48" spans="2:4" ht="14.25" customHeight="1" x14ac:dyDescent="0.3">
      <c r="B48" s="9">
        <v>3800</v>
      </c>
      <c r="C48" s="12" t="s">
        <v>29</v>
      </c>
      <c r="D48" s="16"/>
    </row>
    <row r="49" spans="2:4" ht="14.25" customHeight="1" x14ac:dyDescent="0.3">
      <c r="B49" s="9">
        <v>3900</v>
      </c>
      <c r="C49" s="12" t="s">
        <v>24</v>
      </c>
      <c r="D49" s="16"/>
    </row>
    <row r="50" spans="2:4" ht="14.25" customHeight="1" x14ac:dyDescent="0.3">
      <c r="B50" s="9">
        <v>4000</v>
      </c>
      <c r="C50" s="10" t="s">
        <v>39</v>
      </c>
      <c r="D50" s="17"/>
    </row>
    <row r="51" spans="2:4" ht="14.25" customHeight="1" x14ac:dyDescent="0.3">
      <c r="B51" s="5">
        <v>4100</v>
      </c>
      <c r="C51" s="6" t="s">
        <v>40</v>
      </c>
      <c r="D51" s="19"/>
    </row>
  </sheetData>
  <mergeCells count="3">
    <mergeCell ref="B4:D4"/>
    <mergeCell ref="B6:D6"/>
    <mergeCell ref="B5:D5"/>
  </mergeCells>
  <printOptions gridLines="1" gridLinesSet="0"/>
  <pageMargins left="0.75" right="0.75" top="1" bottom="0.75" header="0.5" footer="0.5"/>
  <pageSetup paperSize="9" fitToWidth="0"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
  <sheetViews>
    <sheetView workbookViewId="0">
      <selection activeCell="J8" sqref="J8"/>
    </sheetView>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vt:i4>
      </vt:variant>
    </vt:vector>
  </HeadingPairs>
  <TitlesOfParts>
    <vt:vector size="8" baseType="lpstr">
      <vt:lpstr>Requerimiento</vt:lpstr>
      <vt:lpstr>Filas Global</vt:lpstr>
      <vt:lpstr>Notas</vt:lpstr>
      <vt:lpstr>Hoja2</vt:lpstr>
      <vt:lpstr>ANEXO 15A</vt:lpstr>
      <vt:lpstr>Hoja1</vt:lpstr>
      <vt:lpstr>'ANEXO 15A'!Área_de_impresión</vt:lpstr>
      <vt:lpstr>Requerimiento!Área_de_impresión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Rebeca Andrea Calderon Saenz</dc:creator>
  <cp:lastModifiedBy>Daniel Núñez Robinson</cp:lastModifiedBy>
  <dcterms:created xsi:type="dcterms:W3CDTF">2020-02-18T20:09:39Z</dcterms:created>
  <dcterms:modified xsi:type="dcterms:W3CDTF">2021-03-04T19:50:59Z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d6716191-9834-43e3-8e0a-1cc303a29093</vt:lpwstr>
  </property>
</Properties>
</file>